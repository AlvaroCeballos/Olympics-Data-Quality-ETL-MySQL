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ba\Downloads\Proyecto1 Data\Proyecto1 Data\"/>
    </mc:Choice>
  </mc:AlternateContent>
  <xr:revisionPtr revIDLastSave="0" documentId="8_{8A6BB96C-6EEE-4602-9E5A-BA298108E3CA}" xr6:coauthVersionLast="47" xr6:coauthVersionMax="47" xr10:uidLastSave="{00000000-0000-0000-0000-000000000000}"/>
  <bookViews>
    <workbookView xWindow="28680" yWindow="-120" windowWidth="21840" windowHeight="13020" firstSheet="3" activeTab="9" xr2:uid="{630D3E20-1DC9-41B7-82CE-ADEA4E922D4F}"/>
  </bookViews>
  <sheets>
    <sheet name="athlete_events_datalab" sheetId="1" r:id="rId1"/>
    <sheet name="results_clean" sheetId="2" r:id="rId2"/>
    <sheet name="results.csv" sheetId="3" r:id="rId3"/>
    <sheet name="athlete_events" sheetId="4" r:id="rId4"/>
    <sheet name="bios" sheetId="5" r:id="rId5"/>
    <sheet name="bios_clean" sheetId="6" r:id="rId6"/>
    <sheet name="bios_locs" sheetId="7" r:id="rId7"/>
    <sheet name="noc_regions" sheetId="8" r:id="rId8"/>
    <sheet name="Hoja9" sheetId="9" r:id="rId9"/>
    <sheet name="population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0" i="3" l="1"/>
  <c r="D99" i="3"/>
  <c r="D98" i="3"/>
  <c r="D97" i="3"/>
  <c r="D96" i="3"/>
  <c r="D95" i="3"/>
  <c r="D94" i="3"/>
  <c r="D90" i="3"/>
  <c r="D89" i="3"/>
  <c r="D85" i="3"/>
  <c r="D83" i="3"/>
  <c r="D79" i="3"/>
  <c r="D76" i="3"/>
  <c r="D75" i="3"/>
  <c r="D74" i="3"/>
  <c r="D73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2" i="3"/>
  <c r="D49" i="3"/>
  <c r="D38" i="3"/>
  <c r="D37" i="3"/>
  <c r="D36" i="3"/>
  <c r="D35" i="3"/>
  <c r="D32" i="3"/>
  <c r="D31" i="3"/>
  <c r="D30" i="3"/>
  <c r="D29" i="3"/>
  <c r="D25" i="3"/>
  <c r="D24" i="3"/>
  <c r="D22" i="3"/>
  <c r="D21" i="3"/>
  <c r="D20" i="3"/>
  <c r="D19" i="3"/>
  <c r="D18" i="3"/>
  <c r="D15" i="3"/>
  <c r="D12" i="3"/>
  <c r="D10" i="3"/>
  <c r="D8" i="3"/>
  <c r="D7" i="3"/>
  <c r="D5" i="3"/>
  <c r="D4" i="3"/>
  <c r="D2" i="3"/>
</calcChain>
</file>

<file path=xl/sharedStrings.xml><?xml version="1.0" encoding="utf-8"?>
<sst xmlns="http://schemas.openxmlformats.org/spreadsheetml/2006/main" count="6494" uniqueCount="1353">
  <si>
    <t>id</t>
  </si>
  <si>
    <t>name</t>
  </si>
  <si>
    <t>sex</t>
  </si>
  <si>
    <t>age</t>
  </si>
  <si>
    <t>height</t>
  </si>
  <si>
    <t>weight</t>
  </si>
  <si>
    <t>team</t>
  </si>
  <si>
    <t>noc</t>
  </si>
  <si>
    <t>games</t>
  </si>
  <si>
    <t>year</t>
  </si>
  <si>
    <t>season</t>
  </si>
  <si>
    <t>city</t>
  </si>
  <si>
    <t>sport</t>
  </si>
  <si>
    <t>event</t>
  </si>
  <si>
    <t>medal</t>
  </si>
  <si>
    <t>A Dijiang</t>
  </si>
  <si>
    <t>M</t>
  </si>
  <si>
    <t>China</t>
  </si>
  <si>
    <t>CHN</t>
  </si>
  <si>
    <t>1992 Summer</t>
  </si>
  <si>
    <t>Summer</t>
  </si>
  <si>
    <t>Barcelona</t>
  </si>
  <si>
    <t>Basketball</t>
  </si>
  <si>
    <t>Basketball Men's Basketball</t>
  </si>
  <si>
    <t>NA</t>
  </si>
  <si>
    <t>A Lamusi</t>
  </si>
  <si>
    <t>2012 Summer</t>
  </si>
  <si>
    <t>London</t>
  </si>
  <si>
    <t>Judo</t>
  </si>
  <si>
    <t>Judo Men's Extra-Lightweight</t>
  </si>
  <si>
    <t>Gunnar Nielsen Aaby</t>
  </si>
  <si>
    <t>Denmark</t>
  </si>
  <si>
    <t>DEN</t>
  </si>
  <si>
    <t>1920 Summer</t>
  </si>
  <si>
    <t>Antwerpen</t>
  </si>
  <si>
    <t>Football</t>
  </si>
  <si>
    <t>Football Men's Football</t>
  </si>
  <si>
    <t>Edgar Lindenau Aabye</t>
  </si>
  <si>
    <t>Denmark/Sweden</t>
  </si>
  <si>
    <t>1900 Summer</t>
  </si>
  <si>
    <t>Paris</t>
  </si>
  <si>
    <t>Tug-Of-War</t>
  </si>
  <si>
    <t>Tug-Of-War Men's Tug-Of-War</t>
  </si>
  <si>
    <t>Gold</t>
  </si>
  <si>
    <t>Christine Jacoba Aaftink</t>
  </si>
  <si>
    <t>F</t>
  </si>
  <si>
    <t>Netherlands</t>
  </si>
  <si>
    <t>NED</t>
  </si>
  <si>
    <t>1988 Winter</t>
  </si>
  <si>
    <t>Winter</t>
  </si>
  <si>
    <t>Calgary</t>
  </si>
  <si>
    <t>Speed Skating</t>
  </si>
  <si>
    <t>Speed Skating Women's 500 metres</t>
  </si>
  <si>
    <t>Speed Skating Women's 1,000 metres</t>
  </si>
  <si>
    <t>1992 Winter</t>
  </si>
  <si>
    <t>Albertville</t>
  </si>
  <si>
    <t>1994 Winter</t>
  </si>
  <si>
    <t>Lillehammer</t>
  </si>
  <si>
    <t>Per Knut Aaland</t>
  </si>
  <si>
    <t>United States</t>
  </si>
  <si>
    <t>USA</t>
  </si>
  <si>
    <t>Cross Country Skiing</t>
  </si>
  <si>
    <t>Cross Country Skiing Men's 10 kilometres</t>
  </si>
  <si>
    <t>Cross Country Skiing Men's 50 kilometres</t>
  </si>
  <si>
    <t>Cross Country Skiing Men's 10/15 kilometres Pursuit</t>
  </si>
  <si>
    <t>Cross Country Skiing Men's 4 x 10 kilometres Relay</t>
  </si>
  <si>
    <t>Cross Country Skiing Men's 30 kilometres</t>
  </si>
  <si>
    <t>John Aalberg</t>
  </si>
  <si>
    <t>Cornelia "Cor" Aalten (-Strannood)</t>
  </si>
  <si>
    <t>1932 Summer</t>
  </si>
  <si>
    <t>Los Angeles</t>
  </si>
  <si>
    <t>Athletics</t>
  </si>
  <si>
    <t>Athletics Women's 100 metres</t>
  </si>
  <si>
    <t>Athletics Women's 4 x 100 metres Relay</t>
  </si>
  <si>
    <t>Antti Sami Aalto</t>
  </si>
  <si>
    <t>Finland</t>
  </si>
  <si>
    <t>FIN</t>
  </si>
  <si>
    <t>2002 Winter</t>
  </si>
  <si>
    <t>Salt Lake City</t>
  </si>
  <si>
    <t>Ice Hockey</t>
  </si>
  <si>
    <t>Ice Hockey Men's Ice Hockey</t>
  </si>
  <si>
    <t>Einar Ferdinand "Einari" Aalto</t>
  </si>
  <si>
    <t>1952 Summer</t>
  </si>
  <si>
    <t>Helsinki</t>
  </si>
  <si>
    <t>Swimming</t>
  </si>
  <si>
    <t>Swimming Men's 400 metres Freestyle</t>
  </si>
  <si>
    <t>Jorma Ilmari Aalto</t>
  </si>
  <si>
    <t>1980 Winter</t>
  </si>
  <si>
    <t>Lake Placid</t>
  </si>
  <si>
    <t>Jyri Tapani Aalto</t>
  </si>
  <si>
    <t>2000 Summer</t>
  </si>
  <si>
    <t>Sydney</t>
  </si>
  <si>
    <t>Badminton</t>
  </si>
  <si>
    <t>Badminton Men's Singles</t>
  </si>
  <si>
    <t>Minna Maarit Aalto</t>
  </si>
  <si>
    <t>1996 Summer</t>
  </si>
  <si>
    <t>Atlanta</t>
  </si>
  <si>
    <t>Sailing</t>
  </si>
  <si>
    <t>Sailing Women's Windsurfer</t>
  </si>
  <si>
    <t>Pirjo Hannele Aalto (Mattila-)</t>
  </si>
  <si>
    <t>Biathlon</t>
  </si>
  <si>
    <t>Biathlon Women's 7.5 kilometres Sprint</t>
  </si>
  <si>
    <t>Arvo Ossian Aaltonen</t>
  </si>
  <si>
    <t>1912 Summer</t>
  </si>
  <si>
    <t>Stockholm</t>
  </si>
  <si>
    <t>Swimming Men's 200 metres Breaststroke</t>
  </si>
  <si>
    <t>Swimming Men's 400 metres Breaststroke</t>
  </si>
  <si>
    <t>Bronze</t>
  </si>
  <si>
    <t>1924 Summer</t>
  </si>
  <si>
    <t>Juhamatti Tapio Aaltonen</t>
  </si>
  <si>
    <t>2014 Winter</t>
  </si>
  <si>
    <t>Sochi</t>
  </si>
  <si>
    <t>Paavo Johannes Aaltonen</t>
  </si>
  <si>
    <t>1948 Summer</t>
  </si>
  <si>
    <t>Gymnastics</t>
  </si>
  <si>
    <t>Gymnastics Men's Individual All-Around</t>
  </si>
  <si>
    <t>Gymnastics Men's Team All-Around</t>
  </si>
  <si>
    <t>Gymnastics Men's Floor Exercise</t>
  </si>
  <si>
    <t>Gymnastics Men's Horse Vault</t>
  </si>
  <si>
    <t>Gymnastics Men's Parallel Bars</t>
  </si>
  <si>
    <t>Gymnastics Men's Horizontal Bar</t>
  </si>
  <si>
    <t>Gymnastics Men's Rings</t>
  </si>
  <si>
    <t>Gymnastics Men's Pommelled Horse</t>
  </si>
  <si>
    <t>Timo Antero Aaltonen</t>
  </si>
  <si>
    <t>Athletics Men's Shot Put</t>
  </si>
  <si>
    <t>Win Valdemar Aaltonen</t>
  </si>
  <si>
    <t>Art Competitions</t>
  </si>
  <si>
    <t>Art Competitions Mixed Sculpturing, Unknown Event</t>
  </si>
  <si>
    <t>Kjetil Andr Aamodt</t>
  </si>
  <si>
    <t>Norway</t>
  </si>
  <si>
    <t>NOR</t>
  </si>
  <si>
    <t>Alpine Skiing</t>
  </si>
  <si>
    <t>Alpine Skiing Men's Downhill</t>
  </si>
  <si>
    <t>Alpine Skiing Men's Super G</t>
  </si>
  <si>
    <t>Alpine Skiing Men's Giant Slalom</t>
  </si>
  <si>
    <t>Alpine Skiing Men's Slalom</t>
  </si>
  <si>
    <t>Silver</t>
  </si>
  <si>
    <t>Alpine Skiing Men's Combined</t>
  </si>
  <si>
    <t>1998 Winter</t>
  </si>
  <si>
    <t>Nagano</t>
  </si>
  <si>
    <t>2006 Winter</t>
  </si>
  <si>
    <t>Torino</t>
  </si>
  <si>
    <t>Ragnhild Margrethe Aamodt</t>
  </si>
  <si>
    <t>2008 Summer</t>
  </si>
  <si>
    <t>Beijing</t>
  </si>
  <si>
    <t>Handball</t>
  </si>
  <si>
    <t>Handball Women's Handball</t>
  </si>
  <si>
    <t>Andreea Aanei</t>
  </si>
  <si>
    <t>Romania</t>
  </si>
  <si>
    <t>ROU</t>
  </si>
  <si>
    <t>2016 Summer</t>
  </si>
  <si>
    <t>Rio de Janeiro</t>
  </si>
  <si>
    <t>Weightlifting</t>
  </si>
  <si>
    <t>Weightlifting Women's Super-Heavyweight</t>
  </si>
  <si>
    <t>Fritz Aanes</t>
  </si>
  <si>
    <t>Wrestling</t>
  </si>
  <si>
    <t>Wrestling Men's Light-Heavyweight, Greco-Roman</t>
  </si>
  <si>
    <t>2004 Summer</t>
  </si>
  <si>
    <t>Athina</t>
  </si>
  <si>
    <t>Nils Egil Aaness</t>
  </si>
  <si>
    <t>1960 Winter</t>
  </si>
  <si>
    <t>Squaw Valley</t>
  </si>
  <si>
    <t>Speed Skating Men's 500 metres</t>
  </si>
  <si>
    <t>Speed Skating Men's 1,500 metres</t>
  </si>
  <si>
    <t>1964 Winter</t>
  </si>
  <si>
    <t>Innsbruck</t>
  </si>
  <si>
    <t>Alf Lied Aanning</t>
  </si>
  <si>
    <t>Gymnastics Men's Team All-Around, Free System</t>
  </si>
  <si>
    <t>Agnes Erika Aanonsen (-Eyde)</t>
  </si>
  <si>
    <t>1984 Winter</t>
  </si>
  <si>
    <t>Sarajevo</t>
  </si>
  <si>
    <t>Luge</t>
  </si>
  <si>
    <t>Luge Women's Singles</t>
  </si>
  <si>
    <t>Johan Aantjes</t>
  </si>
  <si>
    <t>1984 Summer</t>
  </si>
  <si>
    <t>Water Polo</t>
  </si>
  <si>
    <t>Water Polo Men's Water Polo</t>
  </si>
  <si>
    <t>Jan-Erik Aarberg</t>
  </si>
  <si>
    <t>1968 Summer</t>
  </si>
  <si>
    <t>Mexico City</t>
  </si>
  <si>
    <t>Sailing Mixed Three Person Keelboat</t>
  </si>
  <si>
    <t>1972 Summer</t>
  </si>
  <si>
    <t>Munich</t>
  </si>
  <si>
    <t>Willemien Aardenburg</t>
  </si>
  <si>
    <t>1988 Summer</t>
  </si>
  <si>
    <t>Seoul</t>
  </si>
  <si>
    <t>Hockey</t>
  </si>
  <si>
    <t>Hockey Women's Hockey</t>
  </si>
  <si>
    <t>Pepijn Aardewijn</t>
  </si>
  <si>
    <t>Rowing</t>
  </si>
  <si>
    <t>Rowing Men's Lightweight Double Sculls</t>
  </si>
  <si>
    <t>Evald rma (rman-)</t>
  </si>
  <si>
    <t>Estonia</t>
  </si>
  <si>
    <t>EST</t>
  </si>
  <si>
    <t>1936 Summer</t>
  </si>
  <si>
    <t>Berlin</t>
  </si>
  <si>
    <t>Athletics Men's Pole Vault</t>
  </si>
  <si>
    <t>Olav Augunson Aarnes</t>
  </si>
  <si>
    <t>Athletics Men's High Jump</t>
  </si>
  <si>
    <t>Mika Lauri Aarnikka</t>
  </si>
  <si>
    <t>Sailing Men's Two Person Dinghy</t>
  </si>
  <si>
    <t>Jamale (Djamel-) Aarrass (Ahrass-)</t>
  </si>
  <si>
    <t>France</t>
  </si>
  <si>
    <t>FRA</t>
  </si>
  <si>
    <t>Athletics Men's 1,500 metres</t>
  </si>
  <si>
    <t>type</t>
  </si>
  <si>
    <t>discipline</t>
  </si>
  <si>
    <t>as</t>
  </si>
  <si>
    <t>athlete_id</t>
  </si>
  <si>
    <t>place</t>
  </si>
  <si>
    <t>tied</t>
  </si>
  <si>
    <t>Tennis</t>
  </si>
  <si>
    <t>Singles, Men (Olympic)</t>
  </si>
  <si>
    <t>Jean-FranÃ§ois Blanchy</t>
  </si>
  <si>
    <t>True</t>
  </si>
  <si>
    <t>Doubles, Men (Olympic)</t>
  </si>
  <si>
    <t>Jean Montariol</t>
  </si>
  <si>
    <t>False</t>
  </si>
  <si>
    <t>Doubles, Mixed (Olympic)</t>
  </si>
  <si>
    <t>Jeanne Vaussard</t>
  </si>
  <si>
    <t>Jacques Brugnon</t>
  </si>
  <si>
    <t>Arnaud Boetsch</t>
  </si>
  <si>
    <t>Guillaume Raoux</t>
  </si>
  <si>
    <t>Jean Borotra</t>
  </si>
  <si>
    <t>Marguerite Billout</t>
  </si>
  <si>
    <t>RenÃ© Lacoste</t>
  </si>
  <si>
    <t>Henri Cochet</t>
  </si>
  <si>
    <t>Albert Canet</t>
  </si>
  <si>
    <t>Marguerite Broquedis</t>
  </si>
  <si>
    <t>Ã‰douard MÃ©ny de Marangue</t>
  </si>
  <si>
    <t>Table Tennis</t>
  </si>
  <si>
    <t>Nicolas Chatelain</t>
  </si>
  <si>
    <t>Patrick Chila</t>
  </si>
  <si>
    <t>Christophe LegoÃ»t</t>
  </si>
  <si>
    <t>Jean-Philippe Gatien</t>
  </si>
  <si>
    <t>Suzanne Lenglen</t>
  </si>
  <si>
    <t>Marcel Cousin</t>
  </si>
  <si>
    <t>Guy de la Chapelle</t>
  </si>
  <si>
    <t>AndrÃ© PrÃ©vost</t>
  </si>
  <si>
    <t>Singles, Handicap, Men (Olympic (non-medal))</t>
  </si>
  <si>
    <t>Doubles, Handicap, Men (Olympic (non-medal))</t>
  </si>
  <si>
    <t>Gonzalo de Candamo</t>
  </si>
  <si>
    <t>Fencing</t>
  </si>
  <si>
    <t>Ã‰pÃ©e, Individual, Men (Olympic)</t>
  </si>
  <si>
    <t>Ã‰lie, Comte de Lastours</t>
  </si>
  <si>
    <t>Guy, Baron Lejeune</t>
  </si>
  <si>
    <t>Doubles, Handicap, Mixed (Olympic (non-medal))</t>
  </si>
  <si>
    <t>Charlotte Cooper</t>
  </si>
  <si>
    <t>Max Decugis</t>
  </si>
  <si>
    <t>Spalding de Garmendia</t>
  </si>
  <si>
    <t>Singles, Men (Intercalated)</t>
  </si>
  <si>
    <t>Doubles, Mixed (Intercalated)</t>
  </si>
  <si>
    <t>Marie Decugis</t>
  </si>
  <si>
    <t>Doubles, Men (Intercalated)</t>
  </si>
  <si>
    <t>Maurice Germot</t>
  </si>
  <si>
    <t>Doubles, Covered Courts, Mixed (Olympic)</t>
  </si>
  <si>
    <t>Singles, Covered Courts, Men (Olympic)</t>
  </si>
  <si>
    <t>Pierre Albarran</t>
  </si>
  <si>
    <t>J. Defert</t>
  </si>
  <si>
    <t>AndrÃ© Vacherot</t>
  </si>
  <si>
    <t>Ã‰tienne Durand</t>
  </si>
  <si>
    <t>Adrien Fauchier-Magnan</t>
  </si>
  <si>
    <t>Damien Ã‰loi</t>
  </si>
  <si>
    <t>Singles, Men (Olympic (non-medal))</t>
  </si>
  <si>
    <t>Guy Forget</t>
  </si>
  <si>
    <t>Henri Leconte</t>
  </si>
  <si>
    <t>Patrick Birocheau</t>
  </si>
  <si>
    <t>Katie Gilou</t>
  </si>
  <si>
    <t>Finger</t>
  </si>
  <si>
    <t>Doubles, Covered Courts, Men (Olympic)</t>
  </si>
  <si>
    <t>AndrÃ© Gobert</t>
  </si>
  <si>
    <t>Pierre Hirsch</t>
  </si>
  <si>
    <t>Ã‰lisabeth d'Ayen</t>
  </si>
  <si>
    <t>Daniel Lawton</t>
  </si>
  <si>
    <t>Jean-Pierre Samazeuilh</t>
  </si>
  <si>
    <t>Paul Lebreton</t>
  </si>
  <si>
    <t>Paul Lecaron</t>
  </si>
  <si>
    <t>Games</t>
  </si>
  <si>
    <t>Event</t>
  </si>
  <si>
    <t>Team</t>
  </si>
  <si>
    <t>Pos</t>
  </si>
  <si>
    <t>Medal</t>
  </si>
  <si>
    <t>As</t>
  </si>
  <si>
    <t>NOC</t>
  </si>
  <si>
    <t>Discipline</t>
  </si>
  <si>
    <t>Nationality</t>
  </si>
  <si>
    <t>Unnamed: 7</t>
  </si>
  <si>
    <t>1912 Summer Olympics</t>
  </si>
  <si>
    <t>DNS</t>
  </si>
  <si>
    <t>1920 Summer Olympics</t>
  </si>
  <si>
    <t>1996 Summer Olympics</t>
  </si>
  <si>
    <t>1924 Summer Olympics</t>
  </si>
  <si>
    <t>1992 Summer Olympics</t>
  </si>
  <si>
    <t>2000 Summer Olympics</t>
  </si>
  <si>
    <t>2004 Summer Olympics</t>
  </si>
  <si>
    <t>2008 Summer Olympics</t>
  </si>
  <si>
    <t>1900 Summer Olympics</t>
  </si>
  <si>
    <t>AC p1 r3/4</t>
  </si>
  <si>
    <t>1906 Intercalated Games</t>
  </si>
  <si>
    <t>1908 Summer Olympics</t>
  </si>
  <si>
    <t>1896 Summer Olympics</t>
  </si>
  <si>
    <t>1984 Summer Olympics</t>
  </si>
  <si>
    <t>1988 Summer Olympics</t>
  </si>
  <si>
    <t>ID</t>
  </si>
  <si>
    <t>Name</t>
  </si>
  <si>
    <t>Sex</t>
  </si>
  <si>
    <t>Age</t>
  </si>
  <si>
    <t>Height</t>
  </si>
  <si>
    <t>Weight</t>
  </si>
  <si>
    <t>Year</t>
  </si>
  <si>
    <t>Season</t>
  </si>
  <si>
    <t>City</t>
  </si>
  <si>
    <t>Sport</t>
  </si>
  <si>
    <t>Roles</t>
  </si>
  <si>
    <t>Full name</t>
  </si>
  <si>
    <t>Used name</t>
  </si>
  <si>
    <t>Born</t>
  </si>
  <si>
    <t>Died</t>
  </si>
  <si>
    <t>Measurements</t>
  </si>
  <si>
    <t>Affiliations</t>
  </si>
  <si>
    <t>Nick/petnames</t>
  </si>
  <si>
    <t>Title(s)</t>
  </si>
  <si>
    <t>Other names</t>
  </si>
  <si>
    <t>Original name</t>
  </si>
  <si>
    <t>Name order</t>
  </si>
  <si>
    <t>Competed in Olympic Games</t>
  </si>
  <si>
    <t>Male</t>
  </si>
  <si>
    <t>FranÃ§ois Joseph Marie Antoine "Jean-FranÃ§ois"â€¢Blanchy</t>
  </si>
  <si>
    <t>Jean-FranÃ§oisâ€¢Blanchy</t>
  </si>
  <si>
    <t>12 December 1886 in Bordeaux, Gironde (FRA)</t>
  </si>
  <si>
    <t>2 October 1960 in Saint-Jean-de-Luz, PyrÃ©nÃ©es-Atlantiques (FRA)</t>
  </si>
  <si>
    <t>Arnaud Benjaminâ€¢Boetsch</t>
  </si>
  <si>
    <t>Arnaudâ€¢Boetsch</t>
  </si>
  <si>
    <t>1 April 1969 in Meulan, Yvelines (FRA)</t>
  </si>
  <si>
    <t>183 cm / 76 kg</t>
  </si>
  <si>
    <t>Racing Club de France, Paris (FRA)</t>
  </si>
  <si>
    <t>Competed in Olympic Games â€¢ Administrator</t>
  </si>
  <si>
    <t>Jean Laurent Robertâ€¢Borotra</t>
  </si>
  <si>
    <t>Jeanâ€¢Borotra</t>
  </si>
  <si>
    <t>13 August 1898 in Biarritz, PyrÃ©nÃ©es-Atlantiques (FRA)</t>
  </si>
  <si>
    <t>17 July 1994 in Arbonne, PyrÃ©nÃ©es-Atlantiques (FRA)</t>
  </si>
  <si>
    <t>TCP, Paris (FRA)</t>
  </si>
  <si>
    <t>Le Basque Bondissant (The Bounding Basque)</t>
  </si>
  <si>
    <t>Jacques Marie Stanislas Jeanâ€¢Brugnon</t>
  </si>
  <si>
    <t>Jacquesâ€¢Brugnon</t>
  </si>
  <si>
    <t>11 May 1895 in Paris VIIIe, Paris (FRA)</t>
  </si>
  <si>
    <t>20 March 1978 in Monaco, Monaco (MON)</t>
  </si>
  <si>
    <t>168 cm / 64 kg</t>
  </si>
  <si>
    <t>Sporting club de Paris, Paris (FRA)</t>
  </si>
  <si>
    <t>Toto</t>
  </si>
  <si>
    <t>Henry Albertâ€¢Canet</t>
  </si>
  <si>
    <t>Albertâ€¢Canet</t>
  </si>
  <si>
    <t>17 April 1878 in Wandsworth, England (GBR)</t>
  </si>
  <si>
    <t>25 July 1930 in Paris VIIe, Paris (FRA)</t>
  </si>
  <si>
    <t>Nicolasâ€¢Chatelain</t>
  </si>
  <si>
    <t>13 January 1970 in Amiens, Somme (FRA)</t>
  </si>
  <si>
    <t>181 cm / 70 kg</t>
  </si>
  <si>
    <t>SAG Cestas, Cestas (FRA)</t>
  </si>
  <si>
    <t>Patrickâ€¢Chila</t>
  </si>
  <si>
    <t>27 November 1969 in Ris-Orangis, Essonne (FRA)</t>
  </si>
  <si>
    <t>180 cm / 73 kg</t>
  </si>
  <si>
    <t>AS Pontoise-Cergy TT, Pontoise (FRA) / Royal Villette Charleroi, Charleroi (BEL) / EspÃ©rance de Reuilly Tennis de Table, Paris (FRA) / Levallois SCTT, Levallois-Perret (FRA)</t>
  </si>
  <si>
    <t>Henri Jeanâ€¢Cochet</t>
  </si>
  <si>
    <t>Henriâ€¢Cochet</t>
  </si>
  <si>
    <t>14 December 1901 in Villeurbanne, RhÃ´ne (FRA)</t>
  </si>
  <si>
    <t>2 April 1987 in Saint-Germain-en-Laye, Yvelines (FRA)</t>
  </si>
  <si>
    <t>Le Magicien</t>
  </si>
  <si>
    <t>Marcelâ€¢Cousin</t>
  </si>
  <si>
    <t>4 August 1896 in NÃ®mes, Gard (FRA)</t>
  </si>
  <si>
    <t>1 August 1986 in NÃ®mes, Gard (FRA)</t>
  </si>
  <si>
    <t>Luc Henri HervÃ© Guyâ€¢Gardye de la Chapelle</t>
  </si>
  <si>
    <t>Guyâ€¢de la Chapelle</t>
  </si>
  <si>
    <t>16 July 1868 in Farges-Allichamps, Cher (FRA)</t>
  </si>
  <si>
    <t>Ã‰lie Marie Gabrielâ€¢Dor de Lastours</t>
  </si>
  <si>
    <t>Ã‰lie, Comteâ€¢de Lastours</t>
  </si>
  <si>
    <t>12 August 1874 in Orgeval, Yvelines (FRA)</t>
  </si>
  <si>
    <t>18 November 1932 in Castres, Tarn (FRA)</t>
  </si>
  <si>
    <t>Comte (Count)</t>
  </si>
  <si>
    <t>Competed in Olympic Games â€¢ Competed in Intercalated Games â€¢ Non-starter</t>
  </si>
  <si>
    <t>Maxime Omer Mathieu "Max"â€¢Omer-Decugis</t>
  </si>
  <si>
    <t>Maxâ€¢Decugis</t>
  </si>
  <si>
    <t>24 September 1882 in Paris XVIe, Paris (FRA)</t>
  </si>
  <si>
    <t>6 September 1978 in Biot, Alpes-Maritimes (FRA)</t>
  </si>
  <si>
    <t>Sporting Club de France</t>
  </si>
  <si>
    <t>J.â€¢Defert</t>
  </si>
  <si>
    <t>Ã‰tienneâ€¢Durand</t>
  </si>
  <si>
    <t>Damienâ€¢Ã‰loi</t>
  </si>
  <si>
    <t>4 July 1969 in Vire, Calvados (FRA)</t>
  </si>
  <si>
    <t>165 cm / 58 kg</t>
  </si>
  <si>
    <t>Caen TTC, Caen (FRA) / SAG Cestas, Cestas (FRA) / Levallois SC, Levallois-Perret (FRA)</t>
  </si>
  <si>
    <t>Marie Joseph Adrienâ€¢Fauchier-Magnan</t>
  </si>
  <si>
    <t>Adrienâ€¢Fauchier-Magnan</t>
  </si>
  <si>
    <t>19 November 1873 in Paris VIIIe, Paris (FRA)</t>
  </si>
  <si>
    <t>6 August 1965 in Cannes, Alpes-Maritimes (FRA)</t>
  </si>
  <si>
    <t>Competed in Olympic Games â€¢ Competed in Olympic Games (non-medal events)</t>
  </si>
  <si>
    <t>Guyâ€¢Forget</t>
  </si>
  <si>
    <t>4 January 1965 in Casablanca, Casablanca-Settat (MAR)</t>
  </si>
  <si>
    <t>189 cm / 79 kg</t>
  </si>
  <si>
    <t>Jean-Philippeâ€¢Gatien</t>
  </si>
  <si>
    <t>16 October 1968 in AlÃ¨s, Gard (FRA)</t>
  </si>
  <si>
    <t>178 cm / 73 kg</t>
  </si>
  <si>
    <t>Levallois SC, Levallois-Perret (FRA)</t>
  </si>
  <si>
    <t>Competed in Olympic Games â€¢ Competed in Intercalated Games â€¢ Competed in Olympic Games (non-medal events)</t>
  </si>
  <si>
    <t>Marie Claude Mauriceâ€¢Germot</t>
  </si>
  <si>
    <t>Mauriceâ€¢Germot</t>
  </si>
  <si>
    <t>15 November 1882 in Vichy, Allier (FRA)</t>
  </si>
  <si>
    <t>6 August 1958 in Vichy, Allier (FRA)</t>
  </si>
  <si>
    <t>Sporting Club Vichy</t>
  </si>
  <si>
    <t>Henry Maurice AndrÃ©â€¢Gobert</t>
  </si>
  <si>
    <t>AndrÃ©â€¢Gobert</t>
  </si>
  <si>
    <t>30 September 1890 in Paris XVIIe, Paris (FRA)</t>
  </si>
  <si>
    <t>6 December 1951 in Paris VIIe, Paris (FRA)</t>
  </si>
  <si>
    <t>Sporting Club d'Houlgate, Houlgate (FRA)</t>
  </si>
  <si>
    <t>Pierre Michelâ€¢Hirsch</t>
  </si>
  <si>
    <t>Pierreâ€¢Hirsch</t>
  </si>
  <si>
    <t>8 November 1900 in Paris Ie, Paris (FRA)</t>
  </si>
  <si>
    <t>19 April 1942 in OÅ›wiÄ™cim, MaÅ‚opolskie (POL)</t>
  </si>
  <si>
    <t>Jean RenÃ©â€¢Lacoste</t>
  </si>
  <si>
    <t>RenÃ©â€¢Lacoste</t>
  </si>
  <si>
    <t>2 July 1904 in Paris Xe, Paris (FRA)</t>
  </si>
  <si>
    <t>12 October 1996 in Saint-Jean-de-Luz, PyrÃ©nÃ©es-Atlantiques (FRA)</t>
  </si>
  <si>
    <t>Le Crocodile, L'Alligator</t>
  </si>
  <si>
    <t>Competed in Olympic Games â€¢ Non-starter</t>
  </si>
  <si>
    <t>Daniel Ã‰douardâ€¢Lawton</t>
  </si>
  <si>
    <t>Danielâ€¢Lawton</t>
  </si>
  <si>
    <t>27 November 1881 in Cantenac, Gironde (FRA)</t>
  </si>
  <si>
    <t>27 March 1979 in Bordeaux, Gironde (FRA)</t>
  </si>
  <si>
    <t>Louis Paulâ€¢Lebreton</t>
  </si>
  <si>
    <t>Paulâ€¢Lebreton</t>
  </si>
  <si>
    <t>19 October 1875 in Paris IIe, Paris (FRA)</t>
  </si>
  <si>
    <t>31 March 1960 in Paris IXe, Paris (FRA)</t>
  </si>
  <si>
    <t>Paul Ã‰mileâ€¢Lecaron</t>
  </si>
  <si>
    <t>Paulâ€¢Lecaron</t>
  </si>
  <si>
    <t>29 July 1863 in Neuilly-sur-Seine, Hauts-de-Seine (FRA)</t>
  </si>
  <si>
    <t>17 September 1940 in Paris XVIe, Paris (FRA)</t>
  </si>
  <si>
    <t>Henriâ€¢Leconte</t>
  </si>
  <si>
    <t>4 July 1963 in Lillers, Pas-de-Calais (FRA)</t>
  </si>
  <si>
    <t>184 cm / 78 kg</t>
  </si>
  <si>
    <t>LTC Nice</t>
  </si>
  <si>
    <t>Le vengeur masquÃ©</t>
  </si>
  <si>
    <t>Christopheâ€¢LegoÃ»t</t>
  </si>
  <si>
    <t>6 August 1973 in MontbÃ©liard, Doubs (FRA)</t>
  </si>
  <si>
    <t>177 cm / 75 kg</t>
  </si>
  <si>
    <t>Levallois SC, Levallois-Perret (FRA) / Istres Sports, Istres (FRA)</t>
  </si>
  <si>
    <t>Guyâ€¢Lejeune</t>
  </si>
  <si>
    <t>Guy, Baronâ€¢Lejeune</t>
  </si>
  <si>
    <t>Baron</t>
  </si>
  <si>
    <t>Albertâ€¢Lippmann</t>
  </si>
  <si>
    <t>unattached, (MIX)</t>
  </si>
  <si>
    <t>Ã‰douard Marie Marcâ€¢MÃ©ny de Marangue</t>
  </si>
  <si>
    <t>Ã‰douardâ€¢MÃ©ny de Marangue</t>
  </si>
  <si>
    <t>30 November 1882 in Paris VIe, Paris (FRA)</t>
  </si>
  <si>
    <t>23 January 1960 in Beaulieu-sur-Mer, Alpes-Maritimes (FRA)</t>
  </si>
  <si>
    <t>AndrÃ© Adrien Hippolyteâ€¢PrÃ©vost</t>
  </si>
  <si>
    <t>AndrÃ©â€¢PrÃ©vost</t>
  </si>
  <si>
    <t>28 February 1875 in Paris VIIIe, Paris (FRA)</t>
  </si>
  <si>
    <t>22 November 1951 in Neuilly-sur-Seine, Hauts-de-Seine (FRA)</t>
  </si>
  <si>
    <t>Tennis Club de Puteaux, Puteaux (FRA)</t>
  </si>
  <si>
    <t>Guillaumeâ€¢Raoux</t>
  </si>
  <si>
    <t>14 February 1970 in Bagnols-sur-CÃ¨ze, Gard (FRA)</t>
  </si>
  <si>
    <t>180 cm / 77 kg</t>
  </si>
  <si>
    <t>StÃ©phaneâ€¢Renault</t>
  </si>
  <si>
    <t>1 March 1968 in Barfleur, Manche (FRA)</t>
  </si>
  <si>
    <t>180 cm / 72 kg</t>
  </si>
  <si>
    <t>HBC</t>
  </si>
  <si>
    <t>Jean-Pierreâ€¢Samazeuilh</t>
  </si>
  <si>
    <t>17 January 1891 in Bordeaux, Gironde (FRA)</t>
  </si>
  <si>
    <t>13 April 1965 in MÃ©rignac, Gironde (FRA)</t>
  </si>
  <si>
    <t>Fabrice Veteaâ€¢Santoro</t>
  </si>
  <si>
    <t>Fabriceâ€¢Santoro</t>
  </si>
  <si>
    <t>9 December 1972 in Tahiti, ÃŽles du Vent (FPN)</t>
  </si>
  <si>
    <t>177 cm / 68 kg</t>
  </si>
  <si>
    <t>Battling Fab</t>
  </si>
  <si>
    <t>Ã‰tienneâ€¢Thobois</t>
  </si>
  <si>
    <t>20 September 1967 in Amiens, Somme (FRA)</t>
  </si>
  <si>
    <t>186 cm / 78 kg</t>
  </si>
  <si>
    <t>Lille UC, Lille (FRA)</t>
  </si>
  <si>
    <t>Philippe-Edmond Pierreâ€¢VerdÃ©-Delisle</t>
  </si>
  <si>
    <t>Pierreâ€¢VerdÃ©-Delisle</t>
  </si>
  <si>
    <t>16 May 1877 in Trie-la-Ville, Oise (FRA)</t>
  </si>
  <si>
    <t>18 July 1960 in Paris VIIe, Paris (FRA)</t>
  </si>
  <si>
    <t>Female</t>
  </si>
  <si>
    <t>Frances Helenâ€¢Aitchison (-Leisk)</t>
  </si>
  <si>
    <t>Helenâ€¢Aitchison</t>
  </si>
  <si>
    <t>6 December 1881 in Sunderland, England (GBR)</t>
  </si>
  <si>
    <t>26 May 1947 in Aylesbury, England (GBR)</t>
  </si>
  <si>
    <t>Great Britain</t>
  </si>
  <si>
    <t>Winifred Geraldineâ€¢Beamish (Ramsey-)</t>
  </si>
  <si>
    <t>Geraldineâ€¢Beamish</t>
  </si>
  <si>
    <t>23 June 1883 in Forest Gate, England (GBR)</t>
  </si>
  <si>
    <t>10 May 1972 in St. Pancras, England (GBR)</t>
  </si>
  <si>
    <t>Queen's Club, London (GBR)</t>
  </si>
  <si>
    <t>Penelope Dora Harveyâ€¢Boothby (-Geen)</t>
  </si>
  <si>
    <t>Doraâ€¢Boothby</t>
  </si>
  <si>
    <t>2 August 1881 in Finchley, England (GBR)</t>
  </si>
  <si>
    <t>22 February 1970 in Hammersmith, England (GBR)</t>
  </si>
  <si>
    <t>Julie Janeâ€¢Bradbury</t>
  </si>
  <si>
    <t>Julieâ€¢Bradbury</t>
  </si>
  <si>
    <t>12 February 1967 in Oxford, England (GBR)</t>
  </si>
  <si>
    <t>175 cm / 64 kg</t>
  </si>
  <si>
    <t>Gillian Margaretâ€¢Clark</t>
  </si>
  <si>
    <t>Gillianâ€¢Clark</t>
  </si>
  <si>
    <t>2 September 1961 in Baghdad, Baghdad (IRQ)</t>
  </si>
  <si>
    <t>176 cm / 68 kg</t>
  </si>
  <si>
    <t>Wimbledon</t>
  </si>
  <si>
    <t>Mildredâ€¢Coles (-Davis)</t>
  </si>
  <si>
    <t>Mildredâ€¢Coles</t>
  </si>
  <si>
    <t>9 April 1876 in Cranbrook, England (GBR)</t>
  </si>
  <si>
    <t>24 February 1937 in Folkestone, England (GBR)</t>
  </si>
  <si>
    <t>Evelyn Lucyâ€¢Colyer (-Munro)</t>
  </si>
  <si>
    <t>Evelynâ€¢Colyer</t>
  </si>
  <si>
    <t>16 August 1902 in Wandsworth, England (GBR)</t>
  </si>
  <si>
    <t>4 November 1930 in Bishnath, Assam (IND)</t>
  </si>
  <si>
    <t>Charlotte Reinagleâ€¢Cooper (-Sterry)</t>
  </si>
  <si>
    <t>Charlotteâ€¢Cooper</t>
  </si>
  <si>
    <t>22 September 1870 in Ealing, England (GBR)</t>
  </si>
  <si>
    <t>10 October 1966 in Helensburgh, Scotland (GBR)</t>
  </si>
  <si>
    <t>Chiswick Park Lawn Tennis Club, Chiswick (GBR)</t>
  </si>
  <si>
    <t>Chatty</t>
  </si>
  <si>
    <t>Phyllis Lindreaâ€¢Covell (Howkins-)</t>
  </si>
  <si>
    <t>Phyllisâ€¢Covell</t>
  </si>
  <si>
    <t>22 May 1895 in Paddington, England (GBR)</t>
  </si>
  <si>
    <t>28 October 1982 in Heyshott, England (GBR)</t>
  </si>
  <si>
    <t>Gladys Shirleyâ€¢Eastlake-Smith (-Lamplough)</t>
  </si>
  <si>
    <t>Gladysâ€¢Eastlake-Smith</t>
  </si>
  <si>
    <t>14 August 1883 in Lewisham, England (GBR)</t>
  </si>
  <si>
    <t>18 September 1941 in Middleham, England (GBR)</t>
  </si>
  <si>
    <t>Sara Louiseâ€¢Gomer (-Palombo)</t>
  </si>
  <si>
    <t>Saraâ€¢Gomer</t>
  </si>
  <si>
    <t>13 May 1964 in Torquay, England (GBR)</t>
  </si>
  <si>
    <t>190 cm / 85 kg</t>
  </si>
  <si>
    <t>Riverside</t>
  </si>
  <si>
    <t>Alison Helenâ€¢Gordon (-Broe)</t>
  </si>
  <si>
    <t>Alisonâ€¢Gordon</t>
  </si>
  <si>
    <t>31 December 1962 in Reading, England (GBR)</t>
  </si>
  <si>
    <t>175 cm / 68 kg</t>
  </si>
  <si>
    <t>Gillian Carolâ€¢Gowers</t>
  </si>
  <si>
    <t>Gillianâ€¢Gowers</t>
  </si>
  <si>
    <t>9 April 1964 in Horfield, Clifton, England (GBR)</t>
  </si>
  <si>
    <t>157 cm / 55 kg</t>
  </si>
  <si>
    <t>Gosling</t>
  </si>
  <si>
    <t>Alice Norah Gertrudeâ€¢Greene</t>
  </si>
  <si>
    <t>Aliceâ€¢Greene</t>
  </si>
  <si>
    <t>15 October 1879 in Upton, England (GBR)</t>
  </si>
  <si>
    <t>26 October 1956 in Saint BrÃ©lade, Jersey (JER)</t>
  </si>
  <si>
    <t>Edith Margaretâ€¢Hannam (Boucher-)</t>
  </si>
  <si>
    <t>Edithâ€¢Hannam</t>
  </si>
  <si>
    <t>28 November 1878 in Bristol, England (GBR)</t>
  </si>
  <si>
    <t>16 January 1951 in Kensington, England (GBR)</t>
  </si>
  <si>
    <t>Edith Dorothyâ€¢Holman</t>
  </si>
  <si>
    <t>Dorothyâ€¢Holman</t>
  </si>
  <si>
    <t>18 July 1883 in Kilburn, England (GBR)</t>
  </si>
  <si>
    <t>15 June 1968 in Brent, England (GBR)</t>
  </si>
  <si>
    <t>Andrea Maryâ€¢Holt</t>
  </si>
  <si>
    <t>Andreaâ€¢Holt</t>
  </si>
  <si>
    <t>11 November 1970 in Radcliffe, England (GBR)</t>
  </si>
  <si>
    <t>NFD Grove</t>
  </si>
  <si>
    <t>Monique Aliciaâ€¢Javer (-Dias)</t>
  </si>
  <si>
    <t>Moniqueâ€¢Javer</t>
  </si>
  <si>
    <t>22 July 1967 in Burlingame, California (USA)</t>
  </si>
  <si>
    <t>177 cm / 64 kg</t>
  </si>
  <si>
    <t>Valdaâ€¢Lake</t>
  </si>
  <si>
    <t>11 October 1968 in Torquay, England (GBR)</t>
  </si>
  <si>
    <t>173 cm / 61 kg</t>
  </si>
  <si>
    <t>Dorothea Katherine "Dorothy"â€¢Lambert Chambers (Douglass-)</t>
  </si>
  <si>
    <t>Dorothyâ€¢Lambert Chambers</t>
  </si>
  <si>
    <t>3 September 1878 in Ealing, England (GBR)</t>
  </si>
  <si>
    <t>7 January 1960 in Kensington, England (GBR)</t>
  </si>
  <si>
    <t>Lisa Janeâ€¢Lomas (Bellinger-)</t>
  </si>
  <si>
    <t>Lisaâ€¢Lomas</t>
  </si>
  <si>
    <t>9 March 1967 in Dunstable, England (GBR)</t>
  </si>
  <si>
    <t>168 cm / 63 kg</t>
  </si>
  <si>
    <t>Molndais BTK</t>
  </si>
  <si>
    <t>Kathleen "Kitty"â€¢McKane (-Godfree)</t>
  </si>
  <si>
    <t>Kittyâ€¢McKane</t>
  </si>
  <si>
    <t>7 May 1896 in Bayswater, England (GBR)</t>
  </si>
  <si>
    <t>19 June 1992 in East Sheen, England (GBR)</t>
  </si>
  <si>
    <t>Winifred Margaretâ€¢McNair (Slocock-)</t>
  </si>
  <si>
    <t>Winifredâ€¢McNair</t>
  </si>
  <si>
    <t>9 August 1877 in Donnington, England (GBR)</t>
  </si>
  <si>
    <t>28 March 1954 in Kensington, England (GBR)</t>
  </si>
  <si>
    <t>Kelly Annâ€¢Morgan (-Aston)</t>
  </si>
  <si>
    <t>Kellyâ€¢Morgan</t>
  </si>
  <si>
    <t>22 May 1975 in Pontypridd, Wales (GBR)</t>
  </si>
  <si>
    <t>178 cm / 65 kg</t>
  </si>
  <si>
    <t>Agnes Mary "Agatha"â€¢Morton (-Stewart)</t>
  </si>
  <si>
    <t>Agathaâ€¢Morton</t>
  </si>
  <si>
    <t>6 March 1872 in Halstead, England (GBR)</t>
  </si>
  <si>
    <t>5 April 1952 in Kensington, England (GBR)</t>
  </si>
  <si>
    <t>Lady Stewart</t>
  </si>
  <si>
    <t>Joanne "Jo"â€¢Muggeridge</t>
  </si>
  <si>
    <t>Joâ€¢Muggeridge</t>
  </si>
  <si>
    <t>3 April 1969 in London, England (GBR)</t>
  </si>
  <si>
    <t>157 cm / 59 kg</t>
  </si>
  <si>
    <t>Mabel Bramwellâ€¢Parton (Squire-, -Mavrogordato)</t>
  </si>
  <si>
    <t>Mabelâ€¢Parton</t>
  </si>
  <si>
    <t>22 July 1881 in London, England (GBR)</t>
  </si>
  <si>
    <t>12 August 1962 in Limpsfield, England (GBR)</t>
  </si>
  <si>
    <t>Violet Millicentâ€¢Pinckney</t>
  </si>
  <si>
    <t>Violetâ€¢Pinckney</t>
  </si>
  <si>
    <t>11 March 1871 in Alderbury, England (GBR)</t>
  </si>
  <si>
    <t>13 March 1955 in Southampton, England (GBR)</t>
  </si>
  <si>
    <t>Sara Louiseâ€¢Sankey (Halsall-)</t>
  </si>
  <si>
    <t>Saraâ€¢Sankey</t>
  </si>
  <si>
    <t>29 September 1967 in Southport, England (GBR)</t>
  </si>
  <si>
    <t>170 cm / 68 kg</t>
  </si>
  <si>
    <t>Churchtown BC, Churchtown, Merseyside (GBR)</t>
  </si>
  <si>
    <t>Phyllis Helenâ€¢Satterthwaite (Carr-)</t>
  </si>
  <si>
    <t>Phyllisâ€¢Satterthwaite</t>
  </si>
  <si>
    <t>26 January 1886 in Kensington, England (GBR)</t>
  </si>
  <si>
    <t>20 January 1962 in Westminster, England (GBR)</t>
  </si>
  <si>
    <t>Dorothy Cunliffeâ€¢Shepherd-Barron</t>
  </si>
  <si>
    <t>Dorothyâ€¢Shepherd-Barron</t>
  </si>
  <si>
    <t>24 November 1897 in Beighton, England (GBR)</t>
  </si>
  <si>
    <t>20 February 1953 in Melbourn, England (GBR)</t>
  </si>
  <si>
    <t>Samantha "Sam"â€¢Smith</t>
  </si>
  <si>
    <t>Samâ€¢Smith</t>
  </si>
  <si>
    <t>27 November 1971 in Epping, England (GBR)</t>
  </si>
  <si>
    <t>175 cm / 62 kg</t>
  </si>
  <si>
    <t>Helen Suzanneâ€¢Troke (-Alcock)</t>
  </si>
  <si>
    <t>Helenâ€¢Troke</t>
  </si>
  <si>
    <t>7 November 1964 in Southampton, England (GBR)</t>
  </si>
  <si>
    <t>172 cm / 63 kg</t>
  </si>
  <si>
    <t>Lanz SC/Bitterne LC</t>
  </si>
  <si>
    <t>Ruth Isabelâ€¢Winch (Legh-)</t>
  </si>
  <si>
    <t>Ruthâ€¢Winch</t>
  </si>
  <si>
    <t>25 August 1870 in Ryde, England (GBR)</t>
  </si>
  <si>
    <t>9 January 1952 in Beaumaris, Wales (GBR)</t>
  </si>
  <si>
    <t>Clare Jacquelineâ€¢Wood</t>
  </si>
  <si>
    <t>Clareâ€¢Wood</t>
  </si>
  <si>
    <t>8 March 1968 in Zululand, KwaZulu-Natal (RSA)</t>
  </si>
  <si>
    <t>175 cm / 65 kg</t>
  </si>
  <si>
    <t>Southdown Lawn Tennis Club</t>
  </si>
  <si>
    <t>Joanne Gwendolineâ€¢Wright-Goode</t>
  </si>
  <si>
    <t>Joanneâ€¢Wright-Goode</t>
  </si>
  <si>
    <t>17 November 1972 in Harlow, England (GBR)</t>
  </si>
  <si>
    <t>171 cm / 68 kg</t>
  </si>
  <si>
    <t>Lancashire</t>
  </si>
  <si>
    <t>Jo</t>
  </si>
  <si>
    <t>Skylet "Sky"â€¢Andrew</t>
  </si>
  <si>
    <t>Skyâ€¢Andrew</t>
  </si>
  <si>
    <t>31 March 1962 in Newham, England (GBR)</t>
  </si>
  <si>
    <t>185 cm / 78 kg</t>
  </si>
  <si>
    <t>Fellows Cranleigh TTC, Barking (GBR)</t>
  </si>
  <si>
    <t>Simon Davidâ€¢Archer</t>
  </si>
  <si>
    <t>Simonâ€¢Archer</t>
  </si>
  <si>
    <t>27 June 1973 in Leamington Spa, England (GBR)</t>
  </si>
  <si>
    <t>189 cm / 86 kg</t>
  </si>
  <si>
    <t>Herbert Roperâ€¢Barrett</t>
  </si>
  <si>
    <t>Roperâ€¢Barrett</t>
  </si>
  <si>
    <t>24 November 1873 in Upton, England (GBR)</t>
  </si>
  <si>
    <t>27 July 1943 in Horsham, England (GBR)</t>
  </si>
  <si>
    <t>J.Verne</t>
  </si>
  <si>
    <t>Michael Jeremyâ€¢Bates</t>
  </si>
  <si>
    <t>Jeremyâ€¢Bates</t>
  </si>
  <si>
    <t>19 June 1962 in Solihull, England (GBR)</t>
  </si>
  <si>
    <t>Solihull Arden Club, Solihull (GBR)</t>
  </si>
  <si>
    <t>Alfred Ernestâ€¢Beamish</t>
  </si>
  <si>
    <t>Alfredâ€¢Beamish</t>
  </si>
  <si>
    <t>6 August 1879 in Richmond, England (GBR)</t>
  </si>
  <si>
    <t>28 February 1944 in Nairn, Scotland (GBR)</t>
  </si>
  <si>
    <t>John Mary Piusâ€¢Boland</t>
  </si>
  <si>
    <t>John Piusâ€¢Boland</t>
  </si>
  <si>
    <t>16 September 1870 in Dublin, Dublin (IRL)</t>
  </si>
  <si>
    <t>17 March 1958 in Westminster, England (GBR)</t>
  </si>
  <si>
    <t>University of Oxford, Oxford (GBR)</t>
  </si>
  <si>
    <t>Ireland</t>
  </si>
  <si>
    <t>Neilâ€¢Broad</t>
  </si>
  <si>
    <t>20 November 1966 in Cape Town, Western Cape (RSA)</t>
  </si>
  <si>
    <t>191 cm / 87 kg</t>
  </si>
  <si>
    <t>George Aristidesâ€¢Caridia (Karidias-)</t>
  </si>
  <si>
    <t>Georgeâ€¢Caridia</t>
  </si>
  <si>
    <t>20 February 1869 in Kolkata (Calcutta), West Bengal (IND)</t>
  </si>
  <si>
    <t>21 April 1937 in Marylebone, England (GBR)</t>
  </si>
  <si>
    <t>Andrew Nicholasâ€¢Castle</t>
  </si>
  <si>
    <t>Andrewâ€¢Castle</t>
  </si>
  <si>
    <t>15 November 1963 in Epsom, England (GBR)</t>
  </si>
  <si>
    <t>190 cm / 74 kg</t>
  </si>
  <si>
    <t>Clement Haughton Langstonâ€¢Cazalet</t>
  </si>
  <si>
    <t>Clementâ€¢Cazalet</t>
  </si>
  <si>
    <t>16 July 1869 in St. James's, England (GBR)</t>
  </si>
  <si>
    <t>23 March 1950 in Harrow, England (GBR)</t>
  </si>
  <si>
    <t>Xinhuaâ€¢Chen</t>
  </si>
  <si>
    <t>30 January 1960 in Fuan, Fujian (CHN)</t>
  </si>
  <si>
    <t>175 cm / 71 kg</t>
  </si>
  <si>
    <t>é™ˆæ–°åŽ</t>
  </si>
  <si>
    <t>Alanâ€¢Cooke</t>
  </si>
  <si>
    <t>23 March 1966 in Clay Cross, England (GBR)</t>
  </si>
  <si>
    <t>170 cm / 64 kg</t>
  </si>
  <si>
    <t>Falkenbergs BTK, Falkenberg (SWE)</t>
  </si>
  <si>
    <t>Walter Cecilâ€¢Crawley</t>
  </si>
  <si>
    <t>Walterâ€¢Crawley</t>
  </si>
  <si>
    <t>29 March 1880 in Masham, England (GBR)</t>
  </si>
  <si>
    <t>11 October 1940 in Graffham, England (GBR)</t>
  </si>
  <si>
    <t>Charles Percyâ€¢Dixon</t>
  </si>
  <si>
    <t>Charlesâ€¢Dixon</t>
  </si>
  <si>
    <t>7 February 1873 in Grantham, England (GBR)</t>
  </si>
  <si>
    <t>29 April 1939 in West Norwood, Lambeth, England (GBR)</t>
  </si>
  <si>
    <t>Hugh Lawrence "Laurie"â€¢Doherty</t>
  </si>
  <si>
    <t>Laurieâ€¢Doherty</t>
  </si>
  <si>
    <t>8 October 1875 in Wimbledon, England (GBR)</t>
  </si>
  <si>
    <t>21 August 1919 in Broadstairs, England (GBR)</t>
  </si>
  <si>
    <t>178 cm</t>
  </si>
  <si>
    <t>All England Lawn Tennis and Croquet Club, Wimbledon (GBR)</t>
  </si>
  <si>
    <t>Little Do</t>
  </si>
  <si>
    <t>Reginald Frank "Reggie"â€¢Doherty</t>
  </si>
  <si>
    <t>Reggieâ€¢Doherty</t>
  </si>
  <si>
    <t>14 October 1872 in Wimbledon, England (GBR)</t>
  </si>
  <si>
    <t>29 December 1910 in Kensington, England (GBR)</t>
  </si>
  <si>
    <t>Desmondâ€¢Douglas</t>
  </si>
  <si>
    <t>20 July 1955 in Kingston, Kingston (JAM)</t>
  </si>
  <si>
    <t>175 cm / 66 kg</t>
  </si>
  <si>
    <t>Bathwick Tyres</t>
  </si>
  <si>
    <t>Wilberforce Vaughanâ€¢Eaves</t>
  </si>
  <si>
    <t>Wilberforceâ€¢Eaves</t>
  </si>
  <si>
    <t>10 December 1867 in Melbourne, Victoria (AUS)</t>
  </si>
  <si>
    <t>10 February 1920 in Marylebone, England (GBR)</t>
  </si>
  <si>
    <t>Lionel Hunterâ€¢Escombe</t>
  </si>
  <si>
    <t>Lionelâ€¢Escombe</t>
  </si>
  <si>
    <t>1876 in Natal, KwaZulu-Natal (RSA)</t>
  </si>
  <si>
    <t>15 October 1914 in Brentford, England (GBR)</t>
  </si>
  <si>
    <t>Anneâ€¢Gibson (Robertson-)</t>
  </si>
  <si>
    <t>Anneâ€¢Gibson</t>
  </si>
  <si>
    <t>26 October 1968 in Dumfries, Scotland (GBR)</t>
  </si>
  <si>
    <t>173 cm / 70 kg</t>
  </si>
  <si>
    <t>John Brianâ€¢Gilbert</t>
  </si>
  <si>
    <t>Brianâ€¢Gilbert</t>
  </si>
  <si>
    <t>17 July 1887 in Barnes, England (GBR)</t>
  </si>
  <si>
    <t>28 July 1974 in Roehampton, England (GBR)</t>
  </si>
  <si>
    <t>Leslie Allisonâ€¢Godfree</t>
  </si>
  <si>
    <t>Leslieâ€¢Godfree</t>
  </si>
  <si>
    <t>27 April 1885 in Brighton, England (GBR)</t>
  </si>
  <si>
    <t>17 November 1971 in Richmond, England (GBR)</t>
  </si>
  <si>
    <t>Andrew Brian "Andy"â€¢Goode</t>
  </si>
  <si>
    <t>Andyâ€¢Goode</t>
  </si>
  <si>
    <t>30 January 1960 in Welwyn Garden City, England (GBR)</t>
  </si>
  <si>
    <t>183 cm / 83 kg</t>
  </si>
  <si>
    <t>Arthur William Charles "Arthur Wentworth"â€¢Gore</t>
  </si>
  <si>
    <t>Arthur Wentworthâ€¢Gore</t>
  </si>
  <si>
    <t>2 January 1868 in Lyndhurst, England (GBR)</t>
  </si>
  <si>
    <t>1 December 1928 in Kensington, England (GBR)</t>
  </si>
  <si>
    <t>Darren Jamesâ€¢Hall</t>
  </si>
  <si>
    <t>Darrenâ€¢Hall</t>
  </si>
  <si>
    <t>25 October 1965 in Walthamstow, England (GBR)</t>
  </si>
  <si>
    <t>183 cm / 73 kg</t>
  </si>
  <si>
    <t>Timothy Henry "Tim"â€¢Henman</t>
  </si>
  <si>
    <t>Timâ€¢Henman</t>
  </si>
  <si>
    <t>6 September 1974 in Oxford, England (GBR)</t>
  </si>
  <si>
    <t>185 cm / 77 kg</t>
  </si>
  <si>
    <t>Tiger Tim</t>
  </si>
  <si>
    <t>born_date</t>
  </si>
  <si>
    <t>born_city</t>
  </si>
  <si>
    <t>born_region</t>
  </si>
  <si>
    <t>born_country</t>
  </si>
  <si>
    <t>height_cm</t>
  </si>
  <si>
    <t>weight_kg</t>
  </si>
  <si>
    <t>died_date</t>
  </si>
  <si>
    <t>1886-12-12</t>
  </si>
  <si>
    <t>Bordeaux</t>
  </si>
  <si>
    <t>Gironde</t>
  </si>
  <si>
    <t>Meulan</t>
  </si>
  <si>
    <t>Yvelines</t>
  </si>
  <si>
    <t>1898-08-13</t>
  </si>
  <si>
    <t>Biarritz</t>
  </si>
  <si>
    <t>PyrÃ©nÃ©es-Atlantiques</t>
  </si>
  <si>
    <t>1895-05-11</t>
  </si>
  <si>
    <t>Paris VIIIe</t>
  </si>
  <si>
    <t>1878-04-17</t>
  </si>
  <si>
    <t>Wandsworth</t>
  </si>
  <si>
    <t>England</t>
  </si>
  <si>
    <t>GBR</t>
  </si>
  <si>
    <t>Amiens</t>
  </si>
  <si>
    <t>Somme</t>
  </si>
  <si>
    <t>Ris-Orangis</t>
  </si>
  <si>
    <t>Essonne</t>
  </si>
  <si>
    <t>Villeurbanne</t>
  </si>
  <si>
    <t>RhÃ´ne</t>
  </si>
  <si>
    <t>1896-08-04</t>
  </si>
  <si>
    <t>NÃ®mes</t>
  </si>
  <si>
    <t>Gard</t>
  </si>
  <si>
    <t>1868-07-16</t>
  </si>
  <si>
    <t>Farges-Allichamps</t>
  </si>
  <si>
    <t>Cher</t>
  </si>
  <si>
    <t>1874-08-12</t>
  </si>
  <si>
    <t>Orgeval</t>
  </si>
  <si>
    <t>1882-09-24</t>
  </si>
  <si>
    <t>Paris XVIe</t>
  </si>
  <si>
    <t>Vire</t>
  </si>
  <si>
    <t>Calvados</t>
  </si>
  <si>
    <t>1873-11-19</t>
  </si>
  <si>
    <t>Casablanca</t>
  </si>
  <si>
    <t>Casablanca-Settat</t>
  </si>
  <si>
    <t>MAR</t>
  </si>
  <si>
    <t>AlÃ¨s</t>
  </si>
  <si>
    <t>1882-11-15</t>
  </si>
  <si>
    <t>Vichy</t>
  </si>
  <si>
    <t>Allier</t>
  </si>
  <si>
    <t>1890-09-30</t>
  </si>
  <si>
    <t>Paris XVIIe</t>
  </si>
  <si>
    <t>Paris Ie</t>
  </si>
  <si>
    <t>Paris Xe</t>
  </si>
  <si>
    <t>1881-11-27</t>
  </si>
  <si>
    <t>Cantenac</t>
  </si>
  <si>
    <t>1875-10-19</t>
  </si>
  <si>
    <t>Paris IIe</t>
  </si>
  <si>
    <t>1863-07-29</t>
  </si>
  <si>
    <t>Neuilly-sur-Seine</t>
  </si>
  <si>
    <t>Hauts-de-Seine</t>
  </si>
  <si>
    <t>Lillers</t>
  </si>
  <si>
    <t>Pas-de-Calais</t>
  </si>
  <si>
    <t>MontbÃ©liard</t>
  </si>
  <si>
    <t>Doubs</t>
  </si>
  <si>
    <t>Albert Lippmann</t>
  </si>
  <si>
    <t>1882-11-30</t>
  </si>
  <si>
    <t>Paris VIe</t>
  </si>
  <si>
    <t>1875-02-28</t>
  </si>
  <si>
    <t>Bagnols-sur-CÃ¨ze</t>
  </si>
  <si>
    <t>StÃ©phane Renault</t>
  </si>
  <si>
    <t>Barfleur</t>
  </si>
  <si>
    <t>Manche</t>
  </si>
  <si>
    <t>1891-01-17</t>
  </si>
  <si>
    <t>Fabrice Santoro</t>
  </si>
  <si>
    <t>Tahiti</t>
  </si>
  <si>
    <t>ÃŽles du Vent</t>
  </si>
  <si>
    <t>FPN</t>
  </si>
  <si>
    <t>Ã‰tienne Thobois</t>
  </si>
  <si>
    <t>Pierre VerdÃ©-Delisle</t>
  </si>
  <si>
    <t>1877-05-16</t>
  </si>
  <si>
    <t>Trie-la-Ville</t>
  </si>
  <si>
    <t>Oise</t>
  </si>
  <si>
    <t>Helen Aitchison</t>
  </si>
  <si>
    <t>1881-12-06</t>
  </si>
  <si>
    <t>Sunderland</t>
  </si>
  <si>
    <t>Geraldine Beamish</t>
  </si>
  <si>
    <t>1883-06-23</t>
  </si>
  <si>
    <t>Forest Gate</t>
  </si>
  <si>
    <t>Dora Boothby</t>
  </si>
  <si>
    <t>1881-08-02</t>
  </si>
  <si>
    <t>Finchley</t>
  </si>
  <si>
    <t>Julie Bradbury</t>
  </si>
  <si>
    <t>Oxford</t>
  </si>
  <si>
    <t>Gillian Clark</t>
  </si>
  <si>
    <t>Baghdad</t>
  </si>
  <si>
    <t>IRQ</t>
  </si>
  <si>
    <t>Mildred Coles</t>
  </si>
  <si>
    <t>1876-04-09</t>
  </si>
  <si>
    <t>Cranbrook</t>
  </si>
  <si>
    <t>Evelyn Colyer</t>
  </si>
  <si>
    <t>1870-09-22</t>
  </si>
  <si>
    <t>Ealing</t>
  </si>
  <si>
    <t>Phyllis Covell</t>
  </si>
  <si>
    <t>1895-05-22</t>
  </si>
  <si>
    <t>Paddington</t>
  </si>
  <si>
    <t>Gladys Eastlake-Smith</t>
  </si>
  <si>
    <t>1883-08-14</t>
  </si>
  <si>
    <t>Lewisham</t>
  </si>
  <si>
    <t>Sara Gomer</t>
  </si>
  <si>
    <t>Torquay</t>
  </si>
  <si>
    <t>Alison Gordon</t>
  </si>
  <si>
    <t>Reading</t>
  </si>
  <si>
    <t>Gillian Gowers</t>
  </si>
  <si>
    <t>Alice Greene</t>
  </si>
  <si>
    <t>1879-10-15</t>
  </si>
  <si>
    <t>Upton</t>
  </si>
  <si>
    <t>Edith Hannam</t>
  </si>
  <si>
    <t>1878-11-28</t>
  </si>
  <si>
    <t>Bristol</t>
  </si>
  <si>
    <t>Dorothy Holman</t>
  </si>
  <si>
    <t>1883-07-18</t>
  </si>
  <si>
    <t>Kilburn</t>
  </si>
  <si>
    <t>Andrea Holt</t>
  </si>
  <si>
    <t>Radcliffe</t>
  </si>
  <si>
    <t>Monique Javer</t>
  </si>
  <si>
    <t>Burlingame</t>
  </si>
  <si>
    <t>California</t>
  </si>
  <si>
    <t>Valda Lake</t>
  </si>
  <si>
    <t>Dorothy Lambert Chambers</t>
  </si>
  <si>
    <t>1878-09-03</t>
  </si>
  <si>
    <t>Lisa Lomas</t>
  </si>
  <si>
    <t>Dunstable</t>
  </si>
  <si>
    <t>Kitty McKane</t>
  </si>
  <si>
    <t>1896-05-07</t>
  </si>
  <si>
    <t>Bayswater</t>
  </si>
  <si>
    <t>Winifred McNair</t>
  </si>
  <si>
    <t>1877-08-09</t>
  </si>
  <si>
    <t>Donnington</t>
  </si>
  <si>
    <t>Kelly Morgan</t>
  </si>
  <si>
    <t>Pontypridd</t>
  </si>
  <si>
    <t>Wales</t>
  </si>
  <si>
    <t>Agatha Morton</t>
  </si>
  <si>
    <t>1872-03-06</t>
  </si>
  <si>
    <t>Halstead</t>
  </si>
  <si>
    <t>Jo Muggeridge</t>
  </si>
  <si>
    <t>Mabel Parton</t>
  </si>
  <si>
    <t>1881-07-22</t>
  </si>
  <si>
    <t>Violet Pinckney</t>
  </si>
  <si>
    <t>1871-03-11</t>
  </si>
  <si>
    <t>Alderbury</t>
  </si>
  <si>
    <t>Sara Sankey</t>
  </si>
  <si>
    <t>Southport</t>
  </si>
  <si>
    <t>Phyllis Satterthwaite</t>
  </si>
  <si>
    <t>1886-01-26</t>
  </si>
  <si>
    <t>Kensington</t>
  </si>
  <si>
    <t>Dorothy Shepherd-Barron</t>
  </si>
  <si>
    <t>1897-11-24</t>
  </si>
  <si>
    <t>Beighton</t>
  </si>
  <si>
    <t>Sam Smith</t>
  </si>
  <si>
    <t>Epping</t>
  </si>
  <si>
    <t>Helen Troke</t>
  </si>
  <si>
    <t>Southampton</t>
  </si>
  <si>
    <t>Ruth Winch</t>
  </si>
  <si>
    <t>1870-08-25</t>
  </si>
  <si>
    <t>Ryde</t>
  </si>
  <si>
    <t>Clare Wood</t>
  </si>
  <si>
    <t>Zululand</t>
  </si>
  <si>
    <t>KwaZulu-Natal</t>
  </si>
  <si>
    <t>RSA</t>
  </si>
  <si>
    <t>Joanne Wright-Goode</t>
  </si>
  <si>
    <t>Harlow</t>
  </si>
  <si>
    <t>Sky Andrew</t>
  </si>
  <si>
    <t>Newham</t>
  </si>
  <si>
    <t>Simon Archer</t>
  </si>
  <si>
    <t>Leamington Spa</t>
  </si>
  <si>
    <t>Roper Barrett</t>
  </si>
  <si>
    <t>1873-11-24</t>
  </si>
  <si>
    <t>Jeremy Bates</t>
  </si>
  <si>
    <t>Solihull</t>
  </si>
  <si>
    <t>Alfred Beamish</t>
  </si>
  <si>
    <t>1879-08-06</t>
  </si>
  <si>
    <t>Richmond</t>
  </si>
  <si>
    <t>John Pius Boland</t>
  </si>
  <si>
    <t>1870-09-16</t>
  </si>
  <si>
    <t>Dublin</t>
  </si>
  <si>
    <t>IRL</t>
  </si>
  <si>
    <t>Neil Broad</t>
  </si>
  <si>
    <t>Cape Town</t>
  </si>
  <si>
    <t>Western Cape</t>
  </si>
  <si>
    <t>George Caridia</t>
  </si>
  <si>
    <t>1869-02-20</t>
  </si>
  <si>
    <t>Kolkata (Calcutta)</t>
  </si>
  <si>
    <t>West Bengal</t>
  </si>
  <si>
    <t>IND</t>
  </si>
  <si>
    <t>Andrew Castle</t>
  </si>
  <si>
    <t>Epsom</t>
  </si>
  <si>
    <t>Clement Cazalet</t>
  </si>
  <si>
    <t>1869-07-16</t>
  </si>
  <si>
    <t>Xinhua Chen</t>
  </si>
  <si>
    <t>Fuan</t>
  </si>
  <si>
    <t>Fujian</t>
  </si>
  <si>
    <t>Alan Cooke</t>
  </si>
  <si>
    <t>Clay Cross</t>
  </si>
  <si>
    <t>Walter Crawley</t>
  </si>
  <si>
    <t>1880-03-29</t>
  </si>
  <si>
    <t>Masham</t>
  </si>
  <si>
    <t>Charles Dixon</t>
  </si>
  <si>
    <t>1873-02-07</t>
  </si>
  <si>
    <t>Grantham</t>
  </si>
  <si>
    <t>Laurie Doherty</t>
  </si>
  <si>
    <t>1875-10-08</t>
  </si>
  <si>
    <t>Reggie Doherty</t>
  </si>
  <si>
    <t>1872-10-14</t>
  </si>
  <si>
    <t>Desmond Douglas</t>
  </si>
  <si>
    <t>Kingston</t>
  </si>
  <si>
    <t>JAM</t>
  </si>
  <si>
    <t>Wilberforce Eaves</t>
  </si>
  <si>
    <t>1867-12-10</t>
  </si>
  <si>
    <t>Melbourne</t>
  </si>
  <si>
    <t>Victoria</t>
  </si>
  <si>
    <t>AUS</t>
  </si>
  <si>
    <t>Lionel Escombe</t>
  </si>
  <si>
    <t>1876-01-01</t>
  </si>
  <si>
    <t>Natal</t>
  </si>
  <si>
    <t>Anne Gibson</t>
  </si>
  <si>
    <t>Dumfries</t>
  </si>
  <si>
    <t>Scotland</t>
  </si>
  <si>
    <t>Brian Gilbert</t>
  </si>
  <si>
    <t>1887-07-17</t>
  </si>
  <si>
    <t>Barnes</t>
  </si>
  <si>
    <t>Leslie Godfree</t>
  </si>
  <si>
    <t>1885-04-27</t>
  </si>
  <si>
    <t>Brighton</t>
  </si>
  <si>
    <t>Andy Goode</t>
  </si>
  <si>
    <t>Welwyn Garden City</t>
  </si>
  <si>
    <t>Arthur Wentworth Gore</t>
  </si>
  <si>
    <t>1868-01-02</t>
  </si>
  <si>
    <t>Lyndhurst</t>
  </si>
  <si>
    <t>Darren Hall</t>
  </si>
  <si>
    <t>Walthamstow</t>
  </si>
  <si>
    <t>Tim Henman</t>
  </si>
  <si>
    <t>lat</t>
  </si>
  <si>
    <t>long</t>
  </si>
  <si>
    <t>43.471143749999996</t>
  </si>
  <si>
    <t>45.030691149999996</t>
  </si>
  <si>
    <t>50.811637899999994</t>
  </si>
  <si>
    <t>0.6425012384567785</t>
  </si>
  <si>
    <t>52.616298549999996</t>
  </si>
  <si>
    <t>1.5260029892852551</t>
  </si>
  <si>
    <t>31.293846335885597</t>
  </si>
  <si>
    <t>0.029309078788513746</t>
  </si>
  <si>
    <t>region</t>
  </si>
  <si>
    <t>notes</t>
  </si>
  <si>
    <t>AFG</t>
  </si>
  <si>
    <t>Afghanistan</t>
  </si>
  <si>
    <t>AHO</t>
  </si>
  <si>
    <t>Curacao</t>
  </si>
  <si>
    <t>Netherlands Antilles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</si>
  <si>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</si>
  <si>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</si>
  <si>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</si>
  <si>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</si>
  <si>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</si>
  <si>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</si>
  <si>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</si>
  <si>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</si>
  <si>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ANT</t>
  </si>
  <si>
    <t>Antigua</t>
  </si>
  <si>
    <t>Antigua and Barbuda</t>
  </si>
  <si>
    <t>ANZ</t>
  </si>
  <si>
    <t>Australia</t>
  </si>
  <si>
    <t>Australasia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</si>
  <si>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</si>
  <si>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</si>
  <si>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</si>
  <si>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</si>
  <si>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</si>
  <si>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</si>
  <si>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</si>
  <si>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</si>
  <si>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AUT</t>
  </si>
  <si>
    <t>Austria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</si>
  <si>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</si>
  <si>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</si>
  <si>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</si>
  <si>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</si>
  <si>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</si>
  <si>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</si>
  <si>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</si>
  <si>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</si>
  <si>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</si>
  <si>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</si>
  <si>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</si>
  <si>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</si>
  <si>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</si>
  <si>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</si>
  <si>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</si>
  <si>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</si>
  <si>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</si>
  <si>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</si>
  <si>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</si>
  <si>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</si>
  <si>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</si>
  <si>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</si>
  <si>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BLR</t>
  </si>
  <si>
    <t>Belarus</t>
  </si>
  <si>
    <t>BOH</t>
  </si>
  <si>
    <t>Czech Republic</t>
  </si>
  <si>
    <t>Bohemia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</si>
  <si>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</si>
  <si>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</si>
  <si>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</si>
  <si>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</si>
  <si>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</si>
  <si>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</si>
  <si>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</si>
  <si>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</si>
  <si>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</si>
  <si>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</si>
  <si>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</si>
  <si>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</si>
  <si>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</si>
  <si>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</si>
  <si>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</si>
  <si>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</si>
  <si>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</si>
  <si>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</si>
  <si>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</si>
  <si>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</si>
  <si>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</si>
  <si>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</si>
  <si>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</si>
  <si>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</si>
  <si>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</si>
  <si>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</si>
  <si>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</si>
  <si>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</si>
  <si>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</si>
  <si>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</si>
  <si>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</si>
  <si>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</si>
  <si>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</si>
  <si>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</si>
  <si>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</si>
  <si>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</si>
  <si>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</si>
  <si>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</si>
  <si>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</si>
  <si>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</si>
  <si>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</si>
  <si>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</si>
  <si>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</si>
  <si>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</si>
  <si>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</si>
  <si>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</si>
  <si>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CRT</t>
  </si>
  <si>
    <t>Greece</t>
  </si>
  <si>
    <t>Crete</t>
  </si>
  <si>
    <t>CUB</t>
  </si>
  <si>
    <t>Cuba</t>
  </si>
  <si>
    <t>CYP</t>
  </si>
  <si>
    <t>Cyprus</t>
  </si>
  <si>
    <t>CZE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</si>
  <si>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</si>
  <si>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</si>
  <si>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</si>
  <si>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</si>
  <si>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</si>
  <si>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</si>
  <si>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</si>
  <si>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</si>
  <si>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</si>
  <si>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</si>
  <si>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</si>
  <si>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</si>
  <si>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ESA</t>
  </si>
  <si>
    <t>El Salvador</t>
  </si>
  <si>
    <t>ESP</t>
  </si>
  <si>
    <t>Spain</t>
  </si>
  <si>
    <t>ETH</t>
  </si>
  <si>
    <t>Ethiopia</t>
  </si>
  <si>
    <t>EUN</t>
  </si>
  <si>
    <t>Russia</t>
  </si>
  <si>
    <t>FIJ</t>
  </si>
  <si>
    <t>Fiji</t>
  </si>
  <si>
    <t>FRG</t>
  </si>
  <si>
    <t>Germany</t>
  </si>
  <si>
    <t>FSM</t>
  </si>
  <si>
    <t>Micronesia</t>
  </si>
  <si>
    <t>GAB</t>
  </si>
  <si>
    <t>Gabon</t>
  </si>
  <si>
    <t>GAM</t>
  </si>
  <si>
    <t>Gambia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</si>
  <si>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</si>
  <si>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</si>
  <si>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</si>
  <si>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</si>
  <si>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</si>
  <si>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</si>
  <si>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</si>
  <si>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</si>
  <si>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GER</t>
  </si>
  <si>
    <t>GHA</t>
  </si>
  <si>
    <t>Ghana</t>
  </si>
  <si>
    <t>GRE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</si>
  <si>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</si>
  <si>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</si>
  <si>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</si>
  <si>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</si>
  <si>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</si>
  <si>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</si>
  <si>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</si>
  <si>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</si>
  <si>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</si>
  <si>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</si>
  <si>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</si>
  <si>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</si>
  <si>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HKG</t>
  </si>
  <si>
    <t>Hong Kong</t>
  </si>
  <si>
    <t>HON</t>
  </si>
  <si>
    <t>Honduras</t>
  </si>
  <si>
    <t>HUN</t>
  </si>
  <si>
    <t>Hungary</t>
  </si>
  <si>
    <t>INA</t>
  </si>
  <si>
    <t>Indonesia</t>
  </si>
  <si>
    <t>India</t>
  </si>
  <si>
    <t>IOA</t>
  </si>
  <si>
    <t>Individual Olympic Athletes</t>
  </si>
  <si>
    <t>IRI</t>
  </si>
  <si>
    <t>Iran</t>
  </si>
  <si>
    <t>Iraq</t>
  </si>
  <si>
    <t>ISL</t>
  </si>
  <si>
    <t>Iceland</t>
  </si>
  <si>
    <t>ISR</t>
  </si>
  <si>
    <t>Israel</t>
  </si>
  <si>
    <t>player_id</t>
  </si>
  <si>
    <t>No medal</t>
  </si>
  <si>
    <t>Gunnar Aaby</t>
  </si>
  <si>
    <t>Edgar Aabye</t>
  </si>
  <si>
    <t>Cornelia (-strannood)</t>
  </si>
  <si>
    <t>Einar Aalto</t>
  </si>
  <si>
    <t>Jyri Aalto</t>
  </si>
  <si>
    <t>Minna Aalto</t>
  </si>
  <si>
    <t>Arvo Aaltonen</t>
  </si>
  <si>
    <t>Paavo Aaltonen</t>
  </si>
  <si>
    <t>Timo Aaltonen</t>
  </si>
  <si>
    <t>Win Aaltonen</t>
  </si>
  <si>
    <t>Ragnhild Aamodt</t>
  </si>
  <si>
    <t>Alf Aanning</t>
  </si>
  <si>
    <t>Evald (rman-)</t>
  </si>
  <si>
    <t>Olav Aarnes</t>
  </si>
  <si>
    <t>Mika Aarnikka</t>
  </si>
  <si>
    <t>Jamale (ahrass-)</t>
  </si>
  <si>
    <t>Stefan Aartsen</t>
  </si>
  <si>
    <t>Swimming Men's 100 metres Butterfly</t>
  </si>
  <si>
    <t>Swimming Men's 200 metres Butterfly</t>
  </si>
  <si>
    <t>Swimming Men's 4 x 100 metres Medley Relay</t>
  </si>
  <si>
    <t>Ann Aarnes</t>
  </si>
  <si>
    <t>Football Women's Football</t>
  </si>
  <si>
    <t>Karl Aas</t>
  </si>
  <si>
    <t>Lars Aas</t>
  </si>
  <si>
    <t>Fencing Men's Foil, Individual</t>
  </si>
  <si>
    <t>Fencing Men's epee, Individual</t>
  </si>
  <si>
    <t>Fencing Men's epee, Team</t>
  </si>
  <si>
    <t>Rolf Aas</t>
  </si>
  <si>
    <t>Thomas Aas</t>
  </si>
  <si>
    <t>Taifun</t>
  </si>
  <si>
    <t>Sailing Mixed 8 metres</t>
  </si>
  <si>
    <t>Morten Aasen</t>
  </si>
  <si>
    <t>Equestrianism</t>
  </si>
  <si>
    <t>Equestrianism Mixed Jumping, Individual</t>
  </si>
  <si>
    <t>Hakon Aasns</t>
  </si>
  <si>
    <t>Shooting</t>
  </si>
  <si>
    <t>Shooting Men's Small-Bore Rifle, Prone, 50 metres</t>
  </si>
  <si>
    <t>Hans Aasns</t>
  </si>
  <si>
    <t>Shooting Men's Rapid-Fire Pistol, 25 metres</t>
  </si>
  <si>
    <t>Shooting Men's Trap</t>
  </si>
  <si>
    <t>Roma</t>
  </si>
  <si>
    <t>Erling Aastad</t>
  </si>
  <si>
    <t>Athletics Men's 4 x 100 metres Relay</t>
  </si>
  <si>
    <t>Athletics Men's Long Jump</t>
  </si>
  <si>
    <t>Amsterdam</t>
  </si>
  <si>
    <t>Abdelhak Aatakni</t>
  </si>
  <si>
    <t>Morocco</t>
  </si>
  <si>
    <t>Boxing</t>
  </si>
  <si>
    <t>Boxing Men's Light-Welterweight</t>
  </si>
  <si>
    <t>Moonika Aava</t>
  </si>
  <si>
    <t>Athletics Women's Javelin Throw</t>
  </si>
  <si>
    <t>Arvi Aavik</t>
  </si>
  <si>
    <t>Wrestling Men's Heavyweight, Freestyle</t>
  </si>
  <si>
    <t>Nstor Sanjun</t>
  </si>
  <si>
    <t>Patrick Abada</t>
  </si>
  <si>
    <t>Montreal</t>
  </si>
  <si>
    <t>Talaat Abada</t>
  </si>
  <si>
    <t>Taekwondo</t>
  </si>
  <si>
    <t>Taekwondo Men's Flyweight</t>
  </si>
  <si>
    <t>Mohamed Abadi</t>
  </si>
  <si>
    <t>Boxing Men's Heavyweight</t>
  </si>
  <si>
    <t>Antonio Beci</t>
  </si>
  <si>
    <t>Athletics Men's 5,000 metres</t>
  </si>
  <si>
    <t>Ren Abadie</t>
  </si>
  <si>
    <t>Cycling</t>
  </si>
  <si>
    <t>Cycling Men's Road Race, Individual</t>
  </si>
  <si>
    <t>Cycling Men's Road Race, Team</t>
  </si>
  <si>
    <t>Borislav Abadzhiev</t>
  </si>
  <si>
    <t>Georgi Abadzhiev</t>
  </si>
  <si>
    <t>Ivan Abadzhiev</t>
  </si>
  <si>
    <t>Weightlifting Men's Lightweight</t>
  </si>
  <si>
    <t>Weightlifting Men's Middleweight</t>
  </si>
  <si>
    <t>Mikhail Abadzhiev</t>
  </si>
  <si>
    <t>Stefan Abadzhiev</t>
  </si>
  <si>
    <t>Giovanni Abagnale</t>
  </si>
  <si>
    <t>Italy</t>
  </si>
  <si>
    <t>ITA</t>
  </si>
  <si>
    <t>Rowing Men's Coxless Pairs</t>
  </si>
  <si>
    <t>Jos Gmez</t>
  </si>
  <si>
    <t>M'Bairo Abakar</t>
  </si>
  <si>
    <t>Judo Men's Half-Middleweight</t>
  </si>
  <si>
    <t>Country Name</t>
  </si>
  <si>
    <t>Country Code</t>
  </si>
  <si>
    <t>ABW</t>
  </si>
  <si>
    <t>Africa Eastern and Southern</t>
  </si>
  <si>
    <t>AFE</t>
  </si>
  <si>
    <t>Africa Western and Central</t>
  </si>
  <si>
    <t>AFW</t>
  </si>
  <si>
    <t>AGO</t>
  </si>
  <si>
    <t>Arab World</t>
  </si>
  <si>
    <t>ARB</t>
  </si>
  <si>
    <t>United Arab Emirates</t>
  </si>
  <si>
    <t>ARE</t>
  </si>
  <si>
    <t>ASM</t>
  </si>
  <si>
    <t>ATG</t>
  </si>
  <si>
    <t>BFA</t>
  </si>
  <si>
    <t>BGD</t>
  </si>
  <si>
    <t>BGR</t>
  </si>
  <si>
    <t>BHR</t>
  </si>
  <si>
    <t>Bahamas, The</t>
  </si>
  <si>
    <t>BHS</t>
  </si>
  <si>
    <t>BLZ</t>
  </si>
  <si>
    <t>BMU</t>
  </si>
  <si>
    <t>Bolivia</t>
  </si>
  <si>
    <t>BRB</t>
  </si>
  <si>
    <t>Brunei Darussalam</t>
  </si>
  <si>
    <t>BTN</t>
  </si>
  <si>
    <t>BWA</t>
  </si>
  <si>
    <t>Central Europe and the Baltics</t>
  </si>
  <si>
    <t>CEB</t>
  </si>
  <si>
    <t>Switzerland</t>
  </si>
  <si>
    <t>CHE</t>
  </si>
  <si>
    <t>Channel Islands</t>
  </si>
  <si>
    <t>CHL</t>
  </si>
  <si>
    <t>Cote d'Ivoire</t>
  </si>
  <si>
    <t>Congo, Dem. Rep.</t>
  </si>
  <si>
    <t>Congo, Rep.</t>
  </si>
  <si>
    <t>COG</t>
  </si>
  <si>
    <t>Cabo Verde</t>
  </si>
  <si>
    <t>CRI</t>
  </si>
  <si>
    <t>Caribbean small states</t>
  </si>
  <si>
    <t>CSS</t>
  </si>
  <si>
    <t>CUW</t>
  </si>
  <si>
    <t>CYM</t>
  </si>
  <si>
    <t>Czechia</t>
  </si>
  <si>
    <t>DEU</t>
  </si>
  <si>
    <t>DNK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</si>
  <si>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</si>
  <si>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</si>
  <si>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</si>
  <si>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</si>
  <si>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</si>
  <si>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</si>
  <si>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</si>
  <si>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</si>
  <si>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</si>
  <si>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</si>
  <si>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</si>
  <si>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Egypt, Arab Rep.</t>
  </si>
  <si>
    <t>Euro area</t>
  </si>
  <si>
    <t>EMU</t>
  </si>
  <si>
    <t>European Union</t>
  </si>
  <si>
    <t>EUU</t>
  </si>
  <si>
    <t>Fragile and conflict affected situations</t>
  </si>
  <si>
    <t>FCS</t>
  </si>
  <si>
    <t>FJI</t>
  </si>
  <si>
    <t>Faroe Islands</t>
  </si>
  <si>
    <t>FRO</t>
  </si>
  <si>
    <t>Micronesia, Fed. Sts.</t>
  </si>
  <si>
    <t>United Kingdom</t>
  </si>
  <si>
    <t>Gibraltar</t>
  </si>
  <si>
    <t>GIB</t>
  </si>
  <si>
    <t>GIN</t>
  </si>
  <si>
    <t>Gambia, The</t>
  </si>
  <si>
    <t>GMB</t>
  </si>
  <si>
    <t>GNB</t>
  </si>
  <si>
    <t>GNQ</t>
  </si>
  <si>
    <t>GRC</t>
  </si>
  <si>
    <t>GRD</t>
  </si>
  <si>
    <t>Greenland</t>
  </si>
  <si>
    <t>GRL</t>
  </si>
  <si>
    <t>GTM</t>
  </si>
  <si>
    <t>High income</t>
  </si>
  <si>
    <t>HIC</t>
  </si>
  <si>
    <t>Hong Kong SAR, China</t>
  </si>
  <si>
    <t>HND</t>
  </si>
  <si>
    <t>Heavily indebted poor countries (HIPC)</t>
  </si>
  <si>
    <t>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</si>
</sst>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0F6D-0E4B-4145-B315-6F87470DEEC0}">
  <dimension ref="A1:O100"/>
  <sheetViews>
    <sheetView workbookViewId="0">
      <selection sqref="A1:O100"/>
    </sheetView>
  </sheetViews>
  <sheetFormatPr baseColWidth="10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24</v>
      </c>
      <c r="E2">
        <v>180</v>
      </c>
      <c r="F2">
        <v>80</v>
      </c>
      <c r="G2" t="s">
        <v>17</v>
      </c>
      <c r="H2" t="s">
        <v>18</v>
      </c>
      <c r="I2" t="s">
        <v>19</v>
      </c>
      <c r="J2">
        <v>1992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">
      <c r="A3">
        <v>2</v>
      </c>
      <c r="B3" t="s">
        <v>25</v>
      </c>
      <c r="C3" t="s">
        <v>16</v>
      </c>
      <c r="D3">
        <v>23</v>
      </c>
      <c r="E3">
        <v>170</v>
      </c>
      <c r="F3">
        <v>60</v>
      </c>
      <c r="G3" t="s">
        <v>17</v>
      </c>
      <c r="H3" t="s">
        <v>18</v>
      </c>
      <c r="I3" t="s">
        <v>26</v>
      </c>
      <c r="J3">
        <v>2012</v>
      </c>
      <c r="K3" t="s">
        <v>20</v>
      </c>
      <c r="L3" t="s">
        <v>27</v>
      </c>
      <c r="M3" t="s">
        <v>28</v>
      </c>
      <c r="N3" t="s">
        <v>29</v>
      </c>
      <c r="O3" t="s">
        <v>24</v>
      </c>
    </row>
    <row r="4" spans="1:15" x14ac:dyDescent="0.3">
      <c r="A4">
        <v>3</v>
      </c>
      <c r="B4" t="s">
        <v>30</v>
      </c>
      <c r="C4" t="s">
        <v>16</v>
      </c>
      <c r="D4">
        <v>24</v>
      </c>
      <c r="E4" t="s">
        <v>24</v>
      </c>
      <c r="F4" t="s">
        <v>24</v>
      </c>
      <c r="G4" t="s">
        <v>31</v>
      </c>
      <c r="H4" t="s">
        <v>32</v>
      </c>
      <c r="I4" t="s">
        <v>33</v>
      </c>
      <c r="J4">
        <v>1920</v>
      </c>
      <c r="K4" t="s">
        <v>20</v>
      </c>
      <c r="L4" t="s">
        <v>34</v>
      </c>
      <c r="M4" t="s">
        <v>35</v>
      </c>
      <c r="N4" t="s">
        <v>36</v>
      </c>
      <c r="O4" t="s">
        <v>24</v>
      </c>
    </row>
    <row r="5" spans="1:15" x14ac:dyDescent="0.3">
      <c r="A5">
        <v>4</v>
      </c>
      <c r="B5" t="s">
        <v>37</v>
      </c>
      <c r="C5" t="s">
        <v>16</v>
      </c>
      <c r="D5">
        <v>34</v>
      </c>
      <c r="E5" t="s">
        <v>24</v>
      </c>
      <c r="F5" t="s">
        <v>24</v>
      </c>
      <c r="G5" t="s">
        <v>38</v>
      </c>
      <c r="H5" t="s">
        <v>32</v>
      </c>
      <c r="I5" t="s">
        <v>39</v>
      </c>
      <c r="J5">
        <v>1900</v>
      </c>
      <c r="K5" t="s">
        <v>20</v>
      </c>
      <c r="L5" t="s">
        <v>40</v>
      </c>
      <c r="M5" t="s">
        <v>41</v>
      </c>
      <c r="N5" t="s">
        <v>42</v>
      </c>
      <c r="O5" t="s">
        <v>43</v>
      </c>
    </row>
    <row r="6" spans="1:15" x14ac:dyDescent="0.3">
      <c r="A6">
        <v>5</v>
      </c>
      <c r="B6" t="s">
        <v>44</v>
      </c>
      <c r="C6" t="s">
        <v>45</v>
      </c>
      <c r="D6">
        <v>21</v>
      </c>
      <c r="E6">
        <v>185</v>
      </c>
      <c r="F6">
        <v>82</v>
      </c>
      <c r="G6" t="s">
        <v>46</v>
      </c>
      <c r="H6" t="s">
        <v>47</v>
      </c>
      <c r="I6" t="s">
        <v>48</v>
      </c>
      <c r="J6">
        <v>1988</v>
      </c>
      <c r="K6" t="s">
        <v>49</v>
      </c>
      <c r="L6" t="s">
        <v>50</v>
      </c>
      <c r="M6" t="s">
        <v>51</v>
      </c>
      <c r="N6" t="s">
        <v>52</v>
      </c>
      <c r="O6" t="s">
        <v>24</v>
      </c>
    </row>
    <row r="7" spans="1:15" x14ac:dyDescent="0.3">
      <c r="A7">
        <v>5</v>
      </c>
      <c r="B7" t="s">
        <v>44</v>
      </c>
      <c r="C7" t="s">
        <v>45</v>
      </c>
      <c r="D7">
        <v>21</v>
      </c>
      <c r="E7">
        <v>185</v>
      </c>
      <c r="F7">
        <v>82</v>
      </c>
      <c r="G7" t="s">
        <v>46</v>
      </c>
      <c r="H7" t="s">
        <v>47</v>
      </c>
      <c r="I7" t="s">
        <v>48</v>
      </c>
      <c r="J7">
        <v>1988</v>
      </c>
      <c r="K7" t="s">
        <v>49</v>
      </c>
      <c r="L7" t="s">
        <v>50</v>
      </c>
      <c r="M7" t="s">
        <v>51</v>
      </c>
      <c r="N7" t="s">
        <v>53</v>
      </c>
      <c r="O7" t="s">
        <v>24</v>
      </c>
    </row>
    <row r="8" spans="1:15" x14ac:dyDescent="0.3">
      <c r="A8">
        <v>5</v>
      </c>
      <c r="B8" t="s">
        <v>44</v>
      </c>
      <c r="C8" t="s">
        <v>45</v>
      </c>
      <c r="D8">
        <v>25</v>
      </c>
      <c r="E8">
        <v>185</v>
      </c>
      <c r="F8">
        <v>82</v>
      </c>
      <c r="G8" t="s">
        <v>46</v>
      </c>
      <c r="H8" t="s">
        <v>47</v>
      </c>
      <c r="I8" t="s">
        <v>54</v>
      </c>
      <c r="J8">
        <v>1992</v>
      </c>
      <c r="K8" t="s">
        <v>49</v>
      </c>
      <c r="L8" t="s">
        <v>55</v>
      </c>
      <c r="M8" t="s">
        <v>51</v>
      </c>
      <c r="N8" t="s">
        <v>52</v>
      </c>
      <c r="O8" t="s">
        <v>24</v>
      </c>
    </row>
    <row r="9" spans="1:15" x14ac:dyDescent="0.3">
      <c r="A9">
        <v>5</v>
      </c>
      <c r="B9" t="s">
        <v>44</v>
      </c>
      <c r="C9" t="s">
        <v>45</v>
      </c>
      <c r="D9">
        <v>25</v>
      </c>
      <c r="E9">
        <v>185</v>
      </c>
      <c r="F9">
        <v>82</v>
      </c>
      <c r="G9" t="s">
        <v>46</v>
      </c>
      <c r="H9" t="s">
        <v>47</v>
      </c>
      <c r="I9" t="s">
        <v>54</v>
      </c>
      <c r="J9">
        <v>1992</v>
      </c>
      <c r="K9" t="s">
        <v>49</v>
      </c>
      <c r="L9" t="s">
        <v>55</v>
      </c>
      <c r="M9" t="s">
        <v>51</v>
      </c>
      <c r="N9" t="s">
        <v>53</v>
      </c>
      <c r="O9" t="s">
        <v>24</v>
      </c>
    </row>
    <row r="10" spans="1:15" x14ac:dyDescent="0.3">
      <c r="A10">
        <v>5</v>
      </c>
      <c r="B10" t="s">
        <v>44</v>
      </c>
      <c r="C10" t="s">
        <v>45</v>
      </c>
      <c r="D10">
        <v>27</v>
      </c>
      <c r="E10">
        <v>185</v>
      </c>
      <c r="F10">
        <v>82</v>
      </c>
      <c r="G10" t="s">
        <v>46</v>
      </c>
      <c r="H10" t="s">
        <v>47</v>
      </c>
      <c r="I10" t="s">
        <v>56</v>
      </c>
      <c r="J10">
        <v>1994</v>
      </c>
      <c r="K10" t="s">
        <v>49</v>
      </c>
      <c r="L10" t="s">
        <v>57</v>
      </c>
      <c r="M10" t="s">
        <v>51</v>
      </c>
      <c r="N10" t="s">
        <v>52</v>
      </c>
      <c r="O10" t="s">
        <v>24</v>
      </c>
    </row>
    <row r="11" spans="1:15" x14ac:dyDescent="0.3">
      <c r="A11">
        <v>5</v>
      </c>
      <c r="B11" t="s">
        <v>44</v>
      </c>
      <c r="C11" t="s">
        <v>45</v>
      </c>
      <c r="D11">
        <v>27</v>
      </c>
      <c r="E11">
        <v>185</v>
      </c>
      <c r="F11">
        <v>82</v>
      </c>
      <c r="G11" t="s">
        <v>46</v>
      </c>
      <c r="H11" t="s">
        <v>47</v>
      </c>
      <c r="I11" t="s">
        <v>56</v>
      </c>
      <c r="J11">
        <v>1994</v>
      </c>
      <c r="K11" t="s">
        <v>49</v>
      </c>
      <c r="L11" t="s">
        <v>57</v>
      </c>
      <c r="M11" t="s">
        <v>51</v>
      </c>
      <c r="N11" t="s">
        <v>53</v>
      </c>
      <c r="O11" t="s">
        <v>24</v>
      </c>
    </row>
    <row r="12" spans="1:15" x14ac:dyDescent="0.3">
      <c r="A12">
        <v>6</v>
      </c>
      <c r="B12" t="s">
        <v>58</v>
      </c>
      <c r="C12" t="s">
        <v>16</v>
      </c>
      <c r="D12">
        <v>31</v>
      </c>
      <c r="E12">
        <v>188</v>
      </c>
      <c r="F12">
        <v>75</v>
      </c>
      <c r="G12" t="s">
        <v>59</v>
      </c>
      <c r="H12" t="s">
        <v>60</v>
      </c>
      <c r="I12" t="s">
        <v>54</v>
      </c>
      <c r="J12">
        <v>1992</v>
      </c>
      <c r="K12" t="s">
        <v>49</v>
      </c>
      <c r="L12" t="s">
        <v>55</v>
      </c>
      <c r="M12" t="s">
        <v>61</v>
      </c>
      <c r="N12" t="s">
        <v>62</v>
      </c>
      <c r="O12" t="s">
        <v>24</v>
      </c>
    </row>
    <row r="13" spans="1:15" x14ac:dyDescent="0.3">
      <c r="A13">
        <v>6</v>
      </c>
      <c r="B13" t="s">
        <v>58</v>
      </c>
      <c r="C13" t="s">
        <v>16</v>
      </c>
      <c r="D13">
        <v>31</v>
      </c>
      <c r="E13">
        <v>188</v>
      </c>
      <c r="F13">
        <v>75</v>
      </c>
      <c r="G13" t="s">
        <v>59</v>
      </c>
      <c r="H13" t="s">
        <v>60</v>
      </c>
      <c r="I13" t="s">
        <v>54</v>
      </c>
      <c r="J13">
        <v>1992</v>
      </c>
      <c r="K13" t="s">
        <v>49</v>
      </c>
      <c r="L13" t="s">
        <v>55</v>
      </c>
      <c r="M13" t="s">
        <v>61</v>
      </c>
      <c r="N13" t="s">
        <v>63</v>
      </c>
      <c r="O13" t="s">
        <v>24</v>
      </c>
    </row>
    <row r="14" spans="1:15" x14ac:dyDescent="0.3">
      <c r="A14">
        <v>6</v>
      </c>
      <c r="B14" t="s">
        <v>58</v>
      </c>
      <c r="C14" t="s">
        <v>16</v>
      </c>
      <c r="D14">
        <v>31</v>
      </c>
      <c r="E14">
        <v>188</v>
      </c>
      <c r="F14">
        <v>75</v>
      </c>
      <c r="G14" t="s">
        <v>59</v>
      </c>
      <c r="H14" t="s">
        <v>60</v>
      </c>
      <c r="I14" t="s">
        <v>54</v>
      </c>
      <c r="J14">
        <v>1992</v>
      </c>
      <c r="K14" t="s">
        <v>49</v>
      </c>
      <c r="L14" t="s">
        <v>55</v>
      </c>
      <c r="M14" t="s">
        <v>61</v>
      </c>
      <c r="N14" t="s">
        <v>64</v>
      </c>
      <c r="O14" t="s">
        <v>24</v>
      </c>
    </row>
    <row r="15" spans="1:15" x14ac:dyDescent="0.3">
      <c r="A15">
        <v>6</v>
      </c>
      <c r="B15" t="s">
        <v>58</v>
      </c>
      <c r="C15" t="s">
        <v>16</v>
      </c>
      <c r="D15">
        <v>31</v>
      </c>
      <c r="E15">
        <v>188</v>
      </c>
      <c r="F15">
        <v>75</v>
      </c>
      <c r="G15" t="s">
        <v>59</v>
      </c>
      <c r="H15" t="s">
        <v>60</v>
      </c>
      <c r="I15" t="s">
        <v>54</v>
      </c>
      <c r="J15">
        <v>1992</v>
      </c>
      <c r="K15" t="s">
        <v>49</v>
      </c>
      <c r="L15" t="s">
        <v>55</v>
      </c>
      <c r="M15" t="s">
        <v>61</v>
      </c>
      <c r="N15" t="s">
        <v>65</v>
      </c>
      <c r="O15" t="s">
        <v>24</v>
      </c>
    </row>
    <row r="16" spans="1:15" x14ac:dyDescent="0.3">
      <c r="A16">
        <v>6</v>
      </c>
      <c r="B16" t="s">
        <v>58</v>
      </c>
      <c r="C16" t="s">
        <v>16</v>
      </c>
      <c r="D16">
        <v>33</v>
      </c>
      <c r="E16">
        <v>188</v>
      </c>
      <c r="F16">
        <v>75</v>
      </c>
      <c r="G16" t="s">
        <v>59</v>
      </c>
      <c r="H16" t="s">
        <v>60</v>
      </c>
      <c r="I16" t="s">
        <v>56</v>
      </c>
      <c r="J16">
        <v>1994</v>
      </c>
      <c r="K16" t="s">
        <v>49</v>
      </c>
      <c r="L16" t="s">
        <v>57</v>
      </c>
      <c r="M16" t="s">
        <v>61</v>
      </c>
      <c r="N16" t="s">
        <v>62</v>
      </c>
      <c r="O16" t="s">
        <v>24</v>
      </c>
    </row>
    <row r="17" spans="1:15" x14ac:dyDescent="0.3">
      <c r="A17">
        <v>6</v>
      </c>
      <c r="B17" t="s">
        <v>58</v>
      </c>
      <c r="C17" t="s">
        <v>16</v>
      </c>
      <c r="D17">
        <v>33</v>
      </c>
      <c r="E17">
        <v>188</v>
      </c>
      <c r="F17">
        <v>75</v>
      </c>
      <c r="G17" t="s">
        <v>59</v>
      </c>
      <c r="H17" t="s">
        <v>60</v>
      </c>
      <c r="I17" t="s">
        <v>56</v>
      </c>
      <c r="J17">
        <v>1994</v>
      </c>
      <c r="K17" t="s">
        <v>49</v>
      </c>
      <c r="L17" t="s">
        <v>57</v>
      </c>
      <c r="M17" t="s">
        <v>61</v>
      </c>
      <c r="N17" t="s">
        <v>66</v>
      </c>
      <c r="O17" t="s">
        <v>24</v>
      </c>
    </row>
    <row r="18" spans="1:15" x14ac:dyDescent="0.3">
      <c r="A18">
        <v>6</v>
      </c>
      <c r="B18" t="s">
        <v>58</v>
      </c>
      <c r="C18" t="s">
        <v>16</v>
      </c>
      <c r="D18">
        <v>33</v>
      </c>
      <c r="E18">
        <v>188</v>
      </c>
      <c r="F18">
        <v>75</v>
      </c>
      <c r="G18" t="s">
        <v>59</v>
      </c>
      <c r="H18" t="s">
        <v>60</v>
      </c>
      <c r="I18" t="s">
        <v>56</v>
      </c>
      <c r="J18">
        <v>1994</v>
      </c>
      <c r="K18" t="s">
        <v>49</v>
      </c>
      <c r="L18" t="s">
        <v>57</v>
      </c>
      <c r="M18" t="s">
        <v>61</v>
      </c>
      <c r="N18" t="s">
        <v>64</v>
      </c>
      <c r="O18" t="s">
        <v>24</v>
      </c>
    </row>
    <row r="19" spans="1:15" x14ac:dyDescent="0.3">
      <c r="A19">
        <v>6</v>
      </c>
      <c r="B19" t="s">
        <v>58</v>
      </c>
      <c r="C19" t="s">
        <v>16</v>
      </c>
      <c r="D19">
        <v>33</v>
      </c>
      <c r="E19">
        <v>188</v>
      </c>
      <c r="F19">
        <v>75</v>
      </c>
      <c r="G19" t="s">
        <v>59</v>
      </c>
      <c r="H19" t="s">
        <v>60</v>
      </c>
      <c r="I19" t="s">
        <v>56</v>
      </c>
      <c r="J19">
        <v>1994</v>
      </c>
      <c r="K19" t="s">
        <v>49</v>
      </c>
      <c r="L19" t="s">
        <v>57</v>
      </c>
      <c r="M19" t="s">
        <v>61</v>
      </c>
      <c r="N19" t="s">
        <v>65</v>
      </c>
      <c r="O19" t="s">
        <v>24</v>
      </c>
    </row>
    <row r="20" spans="1:15" x14ac:dyDescent="0.3">
      <c r="A20">
        <v>7</v>
      </c>
      <c r="B20" t="s">
        <v>67</v>
      </c>
      <c r="C20" t="s">
        <v>16</v>
      </c>
      <c r="D20">
        <v>31</v>
      </c>
      <c r="E20">
        <v>183</v>
      </c>
      <c r="F20">
        <v>72</v>
      </c>
      <c r="G20" t="s">
        <v>59</v>
      </c>
      <c r="H20" t="s">
        <v>60</v>
      </c>
      <c r="I20" t="s">
        <v>54</v>
      </c>
      <c r="J20">
        <v>1992</v>
      </c>
      <c r="K20" t="s">
        <v>49</v>
      </c>
      <c r="L20" t="s">
        <v>55</v>
      </c>
      <c r="M20" t="s">
        <v>61</v>
      </c>
      <c r="N20" t="s">
        <v>62</v>
      </c>
      <c r="O20" t="s">
        <v>24</v>
      </c>
    </row>
    <row r="21" spans="1:15" x14ac:dyDescent="0.3">
      <c r="A21">
        <v>7</v>
      </c>
      <c r="B21" t="s">
        <v>67</v>
      </c>
      <c r="C21" t="s">
        <v>16</v>
      </c>
      <c r="D21">
        <v>31</v>
      </c>
      <c r="E21">
        <v>183</v>
      </c>
      <c r="F21">
        <v>72</v>
      </c>
      <c r="G21" t="s">
        <v>59</v>
      </c>
      <c r="H21" t="s">
        <v>60</v>
      </c>
      <c r="I21" t="s">
        <v>54</v>
      </c>
      <c r="J21">
        <v>1992</v>
      </c>
      <c r="K21" t="s">
        <v>49</v>
      </c>
      <c r="L21" t="s">
        <v>55</v>
      </c>
      <c r="M21" t="s">
        <v>61</v>
      </c>
      <c r="N21" t="s">
        <v>63</v>
      </c>
      <c r="O21" t="s">
        <v>24</v>
      </c>
    </row>
    <row r="22" spans="1:15" x14ac:dyDescent="0.3">
      <c r="A22">
        <v>7</v>
      </c>
      <c r="B22" t="s">
        <v>67</v>
      </c>
      <c r="C22" t="s">
        <v>16</v>
      </c>
      <c r="D22">
        <v>31</v>
      </c>
      <c r="E22">
        <v>183</v>
      </c>
      <c r="F22">
        <v>72</v>
      </c>
      <c r="G22" t="s">
        <v>59</v>
      </c>
      <c r="H22" t="s">
        <v>60</v>
      </c>
      <c r="I22" t="s">
        <v>54</v>
      </c>
      <c r="J22">
        <v>1992</v>
      </c>
      <c r="K22" t="s">
        <v>49</v>
      </c>
      <c r="L22" t="s">
        <v>55</v>
      </c>
      <c r="M22" t="s">
        <v>61</v>
      </c>
      <c r="N22" t="s">
        <v>64</v>
      </c>
      <c r="O22" t="s">
        <v>24</v>
      </c>
    </row>
    <row r="23" spans="1:15" x14ac:dyDescent="0.3">
      <c r="A23">
        <v>7</v>
      </c>
      <c r="B23" t="s">
        <v>67</v>
      </c>
      <c r="C23" t="s">
        <v>16</v>
      </c>
      <c r="D23">
        <v>31</v>
      </c>
      <c r="E23">
        <v>183</v>
      </c>
      <c r="F23">
        <v>72</v>
      </c>
      <c r="G23" t="s">
        <v>59</v>
      </c>
      <c r="H23" t="s">
        <v>60</v>
      </c>
      <c r="I23" t="s">
        <v>54</v>
      </c>
      <c r="J23">
        <v>1992</v>
      </c>
      <c r="K23" t="s">
        <v>49</v>
      </c>
      <c r="L23" t="s">
        <v>55</v>
      </c>
      <c r="M23" t="s">
        <v>61</v>
      </c>
      <c r="N23" t="s">
        <v>65</v>
      </c>
      <c r="O23" t="s">
        <v>24</v>
      </c>
    </row>
    <row r="24" spans="1:15" x14ac:dyDescent="0.3">
      <c r="A24">
        <v>7</v>
      </c>
      <c r="B24" t="s">
        <v>67</v>
      </c>
      <c r="C24" t="s">
        <v>16</v>
      </c>
      <c r="D24">
        <v>33</v>
      </c>
      <c r="E24">
        <v>183</v>
      </c>
      <c r="F24">
        <v>72</v>
      </c>
      <c r="G24" t="s">
        <v>59</v>
      </c>
      <c r="H24" t="s">
        <v>60</v>
      </c>
      <c r="I24" t="s">
        <v>56</v>
      </c>
      <c r="J24">
        <v>1994</v>
      </c>
      <c r="K24" t="s">
        <v>49</v>
      </c>
      <c r="L24" t="s">
        <v>57</v>
      </c>
      <c r="M24" t="s">
        <v>61</v>
      </c>
      <c r="N24" t="s">
        <v>62</v>
      </c>
      <c r="O24" t="s">
        <v>24</v>
      </c>
    </row>
    <row r="25" spans="1:15" x14ac:dyDescent="0.3">
      <c r="A25">
        <v>7</v>
      </c>
      <c r="B25" t="s">
        <v>67</v>
      </c>
      <c r="C25" t="s">
        <v>16</v>
      </c>
      <c r="D25">
        <v>33</v>
      </c>
      <c r="E25">
        <v>183</v>
      </c>
      <c r="F25">
        <v>72</v>
      </c>
      <c r="G25" t="s">
        <v>59</v>
      </c>
      <c r="H25" t="s">
        <v>60</v>
      </c>
      <c r="I25" t="s">
        <v>56</v>
      </c>
      <c r="J25">
        <v>1994</v>
      </c>
      <c r="K25" t="s">
        <v>49</v>
      </c>
      <c r="L25" t="s">
        <v>57</v>
      </c>
      <c r="M25" t="s">
        <v>61</v>
      </c>
      <c r="N25" t="s">
        <v>66</v>
      </c>
      <c r="O25" t="s">
        <v>24</v>
      </c>
    </row>
    <row r="26" spans="1:15" x14ac:dyDescent="0.3">
      <c r="A26">
        <v>7</v>
      </c>
      <c r="B26" t="s">
        <v>67</v>
      </c>
      <c r="C26" t="s">
        <v>16</v>
      </c>
      <c r="D26">
        <v>33</v>
      </c>
      <c r="E26">
        <v>183</v>
      </c>
      <c r="F26">
        <v>72</v>
      </c>
      <c r="G26" t="s">
        <v>59</v>
      </c>
      <c r="H26" t="s">
        <v>60</v>
      </c>
      <c r="I26" t="s">
        <v>56</v>
      </c>
      <c r="J26">
        <v>1994</v>
      </c>
      <c r="K26" t="s">
        <v>49</v>
      </c>
      <c r="L26" t="s">
        <v>57</v>
      </c>
      <c r="M26" t="s">
        <v>61</v>
      </c>
      <c r="N26" t="s">
        <v>64</v>
      </c>
      <c r="O26" t="s">
        <v>24</v>
      </c>
    </row>
    <row r="27" spans="1:15" x14ac:dyDescent="0.3">
      <c r="A27">
        <v>7</v>
      </c>
      <c r="B27" t="s">
        <v>67</v>
      </c>
      <c r="C27" t="s">
        <v>16</v>
      </c>
      <c r="D27">
        <v>33</v>
      </c>
      <c r="E27">
        <v>183</v>
      </c>
      <c r="F27">
        <v>72</v>
      </c>
      <c r="G27" t="s">
        <v>59</v>
      </c>
      <c r="H27" t="s">
        <v>60</v>
      </c>
      <c r="I27" t="s">
        <v>56</v>
      </c>
      <c r="J27">
        <v>1994</v>
      </c>
      <c r="K27" t="s">
        <v>49</v>
      </c>
      <c r="L27" t="s">
        <v>57</v>
      </c>
      <c r="M27" t="s">
        <v>61</v>
      </c>
      <c r="N27" t="s">
        <v>65</v>
      </c>
      <c r="O27" t="s">
        <v>24</v>
      </c>
    </row>
    <row r="28" spans="1:15" x14ac:dyDescent="0.3">
      <c r="A28">
        <v>8</v>
      </c>
      <c r="B28" t="s">
        <v>68</v>
      </c>
      <c r="C28" t="s">
        <v>45</v>
      </c>
      <c r="D28">
        <v>18</v>
      </c>
      <c r="E28">
        <v>168</v>
      </c>
      <c r="F28" t="s">
        <v>24</v>
      </c>
      <c r="G28" t="s">
        <v>46</v>
      </c>
      <c r="H28" t="s">
        <v>47</v>
      </c>
      <c r="I28" t="s">
        <v>69</v>
      </c>
      <c r="J28">
        <v>1932</v>
      </c>
      <c r="K28" t="s">
        <v>20</v>
      </c>
      <c r="L28" t="s">
        <v>70</v>
      </c>
      <c r="M28" t="s">
        <v>71</v>
      </c>
      <c r="N28" t="s">
        <v>72</v>
      </c>
      <c r="O28" t="s">
        <v>24</v>
      </c>
    </row>
    <row r="29" spans="1:15" x14ac:dyDescent="0.3">
      <c r="A29">
        <v>8</v>
      </c>
      <c r="B29" t="s">
        <v>68</v>
      </c>
      <c r="C29" t="s">
        <v>45</v>
      </c>
      <c r="D29">
        <v>18</v>
      </c>
      <c r="E29">
        <v>168</v>
      </c>
      <c r="F29" t="s">
        <v>24</v>
      </c>
      <c r="G29" t="s">
        <v>46</v>
      </c>
      <c r="H29" t="s">
        <v>47</v>
      </c>
      <c r="I29" t="s">
        <v>69</v>
      </c>
      <c r="J29">
        <v>1932</v>
      </c>
      <c r="K29" t="s">
        <v>20</v>
      </c>
      <c r="L29" t="s">
        <v>70</v>
      </c>
      <c r="M29" t="s">
        <v>71</v>
      </c>
      <c r="N29" t="s">
        <v>73</v>
      </c>
      <c r="O29" t="s">
        <v>24</v>
      </c>
    </row>
    <row r="30" spans="1:15" x14ac:dyDescent="0.3">
      <c r="A30">
        <v>9</v>
      </c>
      <c r="B30" t="s">
        <v>74</v>
      </c>
      <c r="C30" t="s">
        <v>16</v>
      </c>
      <c r="D30">
        <v>26</v>
      </c>
      <c r="E30">
        <v>186</v>
      </c>
      <c r="F30">
        <v>96</v>
      </c>
      <c r="G30" t="s">
        <v>75</v>
      </c>
      <c r="H30" t="s">
        <v>76</v>
      </c>
      <c r="I30" t="s">
        <v>77</v>
      </c>
      <c r="J30">
        <v>2002</v>
      </c>
      <c r="K30" t="s">
        <v>49</v>
      </c>
      <c r="L30" t="s">
        <v>78</v>
      </c>
      <c r="M30" t="s">
        <v>79</v>
      </c>
      <c r="N30" t="s">
        <v>80</v>
      </c>
      <c r="O30" t="s">
        <v>24</v>
      </c>
    </row>
    <row r="31" spans="1:15" x14ac:dyDescent="0.3">
      <c r="A31">
        <v>10</v>
      </c>
      <c r="B31" t="s">
        <v>81</v>
      </c>
      <c r="C31" t="s">
        <v>16</v>
      </c>
      <c r="D31">
        <v>26</v>
      </c>
      <c r="E31" t="s">
        <v>24</v>
      </c>
      <c r="F31" t="s">
        <v>24</v>
      </c>
      <c r="G31" t="s">
        <v>75</v>
      </c>
      <c r="H31" t="s">
        <v>76</v>
      </c>
      <c r="I31" t="s">
        <v>82</v>
      </c>
      <c r="J31">
        <v>1952</v>
      </c>
      <c r="K31" t="s">
        <v>20</v>
      </c>
      <c r="L31" t="s">
        <v>83</v>
      </c>
      <c r="M31" t="s">
        <v>84</v>
      </c>
      <c r="N31" t="s">
        <v>85</v>
      </c>
      <c r="O31" t="s">
        <v>24</v>
      </c>
    </row>
    <row r="32" spans="1:15" x14ac:dyDescent="0.3">
      <c r="A32">
        <v>11</v>
      </c>
      <c r="B32" t="s">
        <v>86</v>
      </c>
      <c r="C32" t="s">
        <v>16</v>
      </c>
      <c r="D32">
        <v>22</v>
      </c>
      <c r="E32">
        <v>182</v>
      </c>
      <c r="F32">
        <v>76.5</v>
      </c>
      <c r="G32" t="s">
        <v>75</v>
      </c>
      <c r="H32" t="s">
        <v>76</v>
      </c>
      <c r="I32" t="s">
        <v>87</v>
      </c>
      <c r="J32">
        <v>1980</v>
      </c>
      <c r="K32" t="s">
        <v>49</v>
      </c>
      <c r="L32" t="s">
        <v>88</v>
      </c>
      <c r="M32" t="s">
        <v>61</v>
      </c>
      <c r="N32" t="s">
        <v>66</v>
      </c>
      <c r="O32" t="s">
        <v>24</v>
      </c>
    </row>
    <row r="33" spans="1:15" x14ac:dyDescent="0.3">
      <c r="A33">
        <v>12</v>
      </c>
      <c r="B33" t="s">
        <v>89</v>
      </c>
      <c r="C33" t="s">
        <v>16</v>
      </c>
      <c r="D33">
        <v>31</v>
      </c>
      <c r="E33">
        <v>172</v>
      </c>
      <c r="F33">
        <v>70</v>
      </c>
      <c r="G33" t="s">
        <v>75</v>
      </c>
      <c r="H33" t="s">
        <v>76</v>
      </c>
      <c r="I33" t="s">
        <v>90</v>
      </c>
      <c r="J33">
        <v>2000</v>
      </c>
      <c r="K33" t="s">
        <v>20</v>
      </c>
      <c r="L33" t="s">
        <v>91</v>
      </c>
      <c r="M33" t="s">
        <v>92</v>
      </c>
      <c r="N33" t="s">
        <v>93</v>
      </c>
      <c r="O33" t="s">
        <v>24</v>
      </c>
    </row>
    <row r="34" spans="1:15" x14ac:dyDescent="0.3">
      <c r="A34">
        <v>13</v>
      </c>
      <c r="B34" t="s">
        <v>94</v>
      </c>
      <c r="C34" t="s">
        <v>45</v>
      </c>
      <c r="D34">
        <v>30</v>
      </c>
      <c r="E34">
        <v>159</v>
      </c>
      <c r="F34">
        <v>55.5</v>
      </c>
      <c r="G34" t="s">
        <v>75</v>
      </c>
      <c r="H34" t="s">
        <v>76</v>
      </c>
      <c r="I34" t="s">
        <v>95</v>
      </c>
      <c r="J34">
        <v>1996</v>
      </c>
      <c r="K34" t="s">
        <v>20</v>
      </c>
      <c r="L34" t="s">
        <v>96</v>
      </c>
      <c r="M34" t="s">
        <v>97</v>
      </c>
      <c r="N34" t="s">
        <v>98</v>
      </c>
      <c r="O34" t="s">
        <v>24</v>
      </c>
    </row>
    <row r="35" spans="1:15" x14ac:dyDescent="0.3">
      <c r="A35">
        <v>13</v>
      </c>
      <c r="B35" t="s">
        <v>94</v>
      </c>
      <c r="C35" t="s">
        <v>45</v>
      </c>
      <c r="D35">
        <v>34</v>
      </c>
      <c r="E35">
        <v>159</v>
      </c>
      <c r="F35">
        <v>55.5</v>
      </c>
      <c r="G35" t="s">
        <v>75</v>
      </c>
      <c r="H35" t="s">
        <v>76</v>
      </c>
      <c r="I35" t="s">
        <v>90</v>
      </c>
      <c r="J35">
        <v>2000</v>
      </c>
      <c r="K35" t="s">
        <v>20</v>
      </c>
      <c r="L35" t="s">
        <v>91</v>
      </c>
      <c r="M35" t="s">
        <v>97</v>
      </c>
      <c r="N35" t="s">
        <v>98</v>
      </c>
      <c r="O35" t="s">
        <v>24</v>
      </c>
    </row>
    <row r="36" spans="1:15" x14ac:dyDescent="0.3">
      <c r="A36">
        <v>14</v>
      </c>
      <c r="B36" t="s">
        <v>99</v>
      </c>
      <c r="C36" t="s">
        <v>45</v>
      </c>
      <c r="D36">
        <v>32</v>
      </c>
      <c r="E36">
        <v>171</v>
      </c>
      <c r="F36">
        <v>65</v>
      </c>
      <c r="G36" t="s">
        <v>75</v>
      </c>
      <c r="H36" t="s">
        <v>76</v>
      </c>
      <c r="I36" t="s">
        <v>56</v>
      </c>
      <c r="J36">
        <v>1994</v>
      </c>
      <c r="K36" t="s">
        <v>49</v>
      </c>
      <c r="L36" t="s">
        <v>57</v>
      </c>
      <c r="M36" t="s">
        <v>100</v>
      </c>
      <c r="N36" t="s">
        <v>101</v>
      </c>
      <c r="O36" t="s">
        <v>24</v>
      </c>
    </row>
    <row r="37" spans="1:15" x14ac:dyDescent="0.3">
      <c r="A37">
        <v>15</v>
      </c>
      <c r="B37" t="s">
        <v>102</v>
      </c>
      <c r="C37" t="s">
        <v>16</v>
      </c>
      <c r="D37">
        <v>22</v>
      </c>
      <c r="E37" t="s">
        <v>24</v>
      </c>
      <c r="F37" t="s">
        <v>24</v>
      </c>
      <c r="G37" t="s">
        <v>75</v>
      </c>
      <c r="H37" t="s">
        <v>76</v>
      </c>
      <c r="I37" t="s">
        <v>103</v>
      </c>
      <c r="J37">
        <v>1912</v>
      </c>
      <c r="K37" t="s">
        <v>20</v>
      </c>
      <c r="L37" t="s">
        <v>104</v>
      </c>
      <c r="M37" t="s">
        <v>84</v>
      </c>
      <c r="N37" t="s">
        <v>105</v>
      </c>
      <c r="O37" t="s">
        <v>24</v>
      </c>
    </row>
    <row r="38" spans="1:15" x14ac:dyDescent="0.3">
      <c r="A38">
        <v>15</v>
      </c>
      <c r="B38" t="s">
        <v>102</v>
      </c>
      <c r="C38" t="s">
        <v>16</v>
      </c>
      <c r="D38">
        <v>22</v>
      </c>
      <c r="E38" t="s">
        <v>24</v>
      </c>
      <c r="F38" t="s">
        <v>24</v>
      </c>
      <c r="G38" t="s">
        <v>75</v>
      </c>
      <c r="H38" t="s">
        <v>76</v>
      </c>
      <c r="I38" t="s">
        <v>103</v>
      </c>
      <c r="J38">
        <v>1912</v>
      </c>
      <c r="K38" t="s">
        <v>20</v>
      </c>
      <c r="L38" t="s">
        <v>104</v>
      </c>
      <c r="M38" t="s">
        <v>84</v>
      </c>
      <c r="N38" t="s">
        <v>106</v>
      </c>
      <c r="O38" t="s">
        <v>24</v>
      </c>
    </row>
    <row r="39" spans="1:15" x14ac:dyDescent="0.3">
      <c r="A39">
        <v>15</v>
      </c>
      <c r="B39" t="s">
        <v>102</v>
      </c>
      <c r="C39" t="s">
        <v>16</v>
      </c>
      <c r="D39">
        <v>30</v>
      </c>
      <c r="E39" t="s">
        <v>24</v>
      </c>
      <c r="F39" t="s">
        <v>24</v>
      </c>
      <c r="G39" t="s">
        <v>75</v>
      </c>
      <c r="H39" t="s">
        <v>76</v>
      </c>
      <c r="I39" t="s">
        <v>33</v>
      </c>
      <c r="J39">
        <v>1920</v>
      </c>
      <c r="K39" t="s">
        <v>20</v>
      </c>
      <c r="L39" t="s">
        <v>34</v>
      </c>
      <c r="M39" t="s">
        <v>84</v>
      </c>
      <c r="N39" t="s">
        <v>105</v>
      </c>
      <c r="O39" t="s">
        <v>107</v>
      </c>
    </row>
    <row r="40" spans="1:15" x14ac:dyDescent="0.3">
      <c r="A40">
        <v>15</v>
      </c>
      <c r="B40" t="s">
        <v>102</v>
      </c>
      <c r="C40" t="s">
        <v>16</v>
      </c>
      <c r="D40">
        <v>30</v>
      </c>
      <c r="E40" t="s">
        <v>24</v>
      </c>
      <c r="F40" t="s">
        <v>24</v>
      </c>
      <c r="G40" t="s">
        <v>75</v>
      </c>
      <c r="H40" t="s">
        <v>76</v>
      </c>
      <c r="I40" t="s">
        <v>33</v>
      </c>
      <c r="J40">
        <v>1920</v>
      </c>
      <c r="K40" t="s">
        <v>20</v>
      </c>
      <c r="L40" t="s">
        <v>34</v>
      </c>
      <c r="M40" t="s">
        <v>84</v>
      </c>
      <c r="N40" t="s">
        <v>106</v>
      </c>
      <c r="O40" t="s">
        <v>107</v>
      </c>
    </row>
    <row r="41" spans="1:15" x14ac:dyDescent="0.3">
      <c r="A41">
        <v>15</v>
      </c>
      <c r="B41" t="s">
        <v>102</v>
      </c>
      <c r="C41" t="s">
        <v>16</v>
      </c>
      <c r="D41">
        <v>34</v>
      </c>
      <c r="E41" t="s">
        <v>24</v>
      </c>
      <c r="F41" t="s">
        <v>24</v>
      </c>
      <c r="G41" t="s">
        <v>75</v>
      </c>
      <c r="H41" t="s">
        <v>76</v>
      </c>
      <c r="I41" t="s">
        <v>108</v>
      </c>
      <c r="J41">
        <v>1924</v>
      </c>
      <c r="K41" t="s">
        <v>20</v>
      </c>
      <c r="L41" t="s">
        <v>40</v>
      </c>
      <c r="M41" t="s">
        <v>84</v>
      </c>
      <c r="N41" t="s">
        <v>105</v>
      </c>
      <c r="O41" t="s">
        <v>24</v>
      </c>
    </row>
    <row r="42" spans="1:15" x14ac:dyDescent="0.3">
      <c r="A42">
        <v>16</v>
      </c>
      <c r="B42" t="s">
        <v>109</v>
      </c>
      <c r="C42" t="s">
        <v>16</v>
      </c>
      <c r="D42">
        <v>28</v>
      </c>
      <c r="E42">
        <v>184</v>
      </c>
      <c r="F42">
        <v>85</v>
      </c>
      <c r="G42" t="s">
        <v>75</v>
      </c>
      <c r="H42" t="s">
        <v>76</v>
      </c>
      <c r="I42" t="s">
        <v>110</v>
      </c>
      <c r="J42">
        <v>2014</v>
      </c>
      <c r="K42" t="s">
        <v>49</v>
      </c>
      <c r="L42" t="s">
        <v>111</v>
      </c>
      <c r="M42" t="s">
        <v>79</v>
      </c>
      <c r="N42" t="s">
        <v>80</v>
      </c>
      <c r="O42" t="s">
        <v>107</v>
      </c>
    </row>
    <row r="43" spans="1:15" x14ac:dyDescent="0.3">
      <c r="A43">
        <v>17</v>
      </c>
      <c r="B43" t="s">
        <v>112</v>
      </c>
      <c r="C43" t="s">
        <v>16</v>
      </c>
      <c r="D43">
        <v>28</v>
      </c>
      <c r="E43">
        <v>175</v>
      </c>
      <c r="F43">
        <v>64</v>
      </c>
      <c r="G43" t="s">
        <v>75</v>
      </c>
      <c r="H43" t="s">
        <v>76</v>
      </c>
      <c r="I43" t="s">
        <v>113</v>
      </c>
      <c r="J43">
        <v>1948</v>
      </c>
      <c r="K43" t="s">
        <v>20</v>
      </c>
      <c r="L43" t="s">
        <v>27</v>
      </c>
      <c r="M43" t="s">
        <v>114</v>
      </c>
      <c r="N43" t="s">
        <v>115</v>
      </c>
      <c r="O43" t="s">
        <v>107</v>
      </c>
    </row>
    <row r="44" spans="1:15" x14ac:dyDescent="0.3">
      <c r="A44">
        <v>17</v>
      </c>
      <c r="B44" t="s">
        <v>112</v>
      </c>
      <c r="C44" t="s">
        <v>16</v>
      </c>
      <c r="D44">
        <v>28</v>
      </c>
      <c r="E44">
        <v>175</v>
      </c>
      <c r="F44">
        <v>64</v>
      </c>
      <c r="G44" t="s">
        <v>75</v>
      </c>
      <c r="H44" t="s">
        <v>76</v>
      </c>
      <c r="I44" t="s">
        <v>113</v>
      </c>
      <c r="J44">
        <v>1948</v>
      </c>
      <c r="K44" t="s">
        <v>20</v>
      </c>
      <c r="L44" t="s">
        <v>27</v>
      </c>
      <c r="M44" t="s">
        <v>114</v>
      </c>
      <c r="N44" t="s">
        <v>116</v>
      </c>
      <c r="O44" t="s">
        <v>43</v>
      </c>
    </row>
    <row r="45" spans="1:15" x14ac:dyDescent="0.3">
      <c r="A45">
        <v>17</v>
      </c>
      <c r="B45" t="s">
        <v>112</v>
      </c>
      <c r="C45" t="s">
        <v>16</v>
      </c>
      <c r="D45">
        <v>28</v>
      </c>
      <c r="E45">
        <v>175</v>
      </c>
      <c r="F45">
        <v>64</v>
      </c>
      <c r="G45" t="s">
        <v>75</v>
      </c>
      <c r="H45" t="s">
        <v>76</v>
      </c>
      <c r="I45" t="s">
        <v>113</v>
      </c>
      <c r="J45">
        <v>1948</v>
      </c>
      <c r="K45" t="s">
        <v>20</v>
      </c>
      <c r="L45" t="s">
        <v>27</v>
      </c>
      <c r="M45" t="s">
        <v>114</v>
      </c>
      <c r="N45" t="s">
        <v>117</v>
      </c>
      <c r="O45" t="s">
        <v>24</v>
      </c>
    </row>
    <row r="46" spans="1:15" x14ac:dyDescent="0.3">
      <c r="A46">
        <v>17</v>
      </c>
      <c r="B46" t="s">
        <v>112</v>
      </c>
      <c r="C46" t="s">
        <v>16</v>
      </c>
      <c r="D46">
        <v>28</v>
      </c>
      <c r="E46">
        <v>175</v>
      </c>
      <c r="F46">
        <v>64</v>
      </c>
      <c r="G46" t="s">
        <v>75</v>
      </c>
      <c r="H46" t="s">
        <v>76</v>
      </c>
      <c r="I46" t="s">
        <v>113</v>
      </c>
      <c r="J46">
        <v>1948</v>
      </c>
      <c r="K46" t="s">
        <v>20</v>
      </c>
      <c r="L46" t="s">
        <v>27</v>
      </c>
      <c r="M46" t="s">
        <v>114</v>
      </c>
      <c r="N46" t="s">
        <v>118</v>
      </c>
      <c r="O46" t="s">
        <v>43</v>
      </c>
    </row>
    <row r="47" spans="1:15" x14ac:dyDescent="0.3">
      <c r="A47">
        <v>17</v>
      </c>
      <c r="B47" t="s">
        <v>112</v>
      </c>
      <c r="C47" t="s">
        <v>16</v>
      </c>
      <c r="D47">
        <v>28</v>
      </c>
      <c r="E47">
        <v>175</v>
      </c>
      <c r="F47">
        <v>64</v>
      </c>
      <c r="G47" t="s">
        <v>75</v>
      </c>
      <c r="H47" t="s">
        <v>76</v>
      </c>
      <c r="I47" t="s">
        <v>113</v>
      </c>
      <c r="J47">
        <v>1948</v>
      </c>
      <c r="K47" t="s">
        <v>20</v>
      </c>
      <c r="L47" t="s">
        <v>27</v>
      </c>
      <c r="M47" t="s">
        <v>114</v>
      </c>
      <c r="N47" t="s">
        <v>119</v>
      </c>
      <c r="O47" t="s">
        <v>24</v>
      </c>
    </row>
    <row r="48" spans="1:15" x14ac:dyDescent="0.3">
      <c r="A48">
        <v>17</v>
      </c>
      <c r="B48" t="s">
        <v>112</v>
      </c>
      <c r="C48" t="s">
        <v>16</v>
      </c>
      <c r="D48">
        <v>28</v>
      </c>
      <c r="E48">
        <v>175</v>
      </c>
      <c r="F48">
        <v>64</v>
      </c>
      <c r="G48" t="s">
        <v>75</v>
      </c>
      <c r="H48" t="s">
        <v>76</v>
      </c>
      <c r="I48" t="s">
        <v>113</v>
      </c>
      <c r="J48">
        <v>1948</v>
      </c>
      <c r="K48" t="s">
        <v>20</v>
      </c>
      <c r="L48" t="s">
        <v>27</v>
      </c>
      <c r="M48" t="s">
        <v>114</v>
      </c>
      <c r="N48" t="s">
        <v>120</v>
      </c>
      <c r="O48" t="s">
        <v>24</v>
      </c>
    </row>
    <row r="49" spans="1:15" x14ac:dyDescent="0.3">
      <c r="A49">
        <v>17</v>
      </c>
      <c r="B49" t="s">
        <v>112</v>
      </c>
      <c r="C49" t="s">
        <v>16</v>
      </c>
      <c r="D49">
        <v>28</v>
      </c>
      <c r="E49">
        <v>175</v>
      </c>
      <c r="F49">
        <v>64</v>
      </c>
      <c r="G49" t="s">
        <v>75</v>
      </c>
      <c r="H49" t="s">
        <v>76</v>
      </c>
      <c r="I49" t="s">
        <v>113</v>
      </c>
      <c r="J49">
        <v>1948</v>
      </c>
      <c r="K49" t="s">
        <v>20</v>
      </c>
      <c r="L49" t="s">
        <v>27</v>
      </c>
      <c r="M49" t="s">
        <v>114</v>
      </c>
      <c r="N49" t="s">
        <v>121</v>
      </c>
      <c r="O49" t="s">
        <v>24</v>
      </c>
    </row>
    <row r="50" spans="1:15" x14ac:dyDescent="0.3">
      <c r="A50">
        <v>17</v>
      </c>
      <c r="B50" t="s">
        <v>112</v>
      </c>
      <c r="C50" t="s">
        <v>16</v>
      </c>
      <c r="D50">
        <v>28</v>
      </c>
      <c r="E50">
        <v>175</v>
      </c>
      <c r="F50">
        <v>64</v>
      </c>
      <c r="G50" t="s">
        <v>75</v>
      </c>
      <c r="H50" t="s">
        <v>76</v>
      </c>
      <c r="I50" t="s">
        <v>113</v>
      </c>
      <c r="J50">
        <v>1948</v>
      </c>
      <c r="K50" t="s">
        <v>20</v>
      </c>
      <c r="L50" t="s">
        <v>27</v>
      </c>
      <c r="M50" t="s">
        <v>114</v>
      </c>
      <c r="N50" t="s">
        <v>122</v>
      </c>
      <c r="O50" t="s">
        <v>43</v>
      </c>
    </row>
    <row r="51" spans="1:15" x14ac:dyDescent="0.3">
      <c r="A51">
        <v>17</v>
      </c>
      <c r="B51" t="s">
        <v>112</v>
      </c>
      <c r="C51" t="s">
        <v>16</v>
      </c>
      <c r="D51">
        <v>32</v>
      </c>
      <c r="E51">
        <v>175</v>
      </c>
      <c r="F51">
        <v>64</v>
      </c>
      <c r="G51" t="s">
        <v>75</v>
      </c>
      <c r="H51" t="s">
        <v>76</v>
      </c>
      <c r="I51" t="s">
        <v>82</v>
      </c>
      <c r="J51">
        <v>1952</v>
      </c>
      <c r="K51" t="s">
        <v>20</v>
      </c>
      <c r="L51" t="s">
        <v>83</v>
      </c>
      <c r="M51" t="s">
        <v>114</v>
      </c>
      <c r="N51" t="s">
        <v>115</v>
      </c>
      <c r="O51" t="s">
        <v>24</v>
      </c>
    </row>
    <row r="52" spans="1:15" x14ac:dyDescent="0.3">
      <c r="A52">
        <v>17</v>
      </c>
      <c r="B52" t="s">
        <v>112</v>
      </c>
      <c r="C52" t="s">
        <v>16</v>
      </c>
      <c r="D52">
        <v>32</v>
      </c>
      <c r="E52">
        <v>175</v>
      </c>
      <c r="F52">
        <v>64</v>
      </c>
      <c r="G52" t="s">
        <v>75</v>
      </c>
      <c r="H52" t="s">
        <v>76</v>
      </c>
      <c r="I52" t="s">
        <v>82</v>
      </c>
      <c r="J52">
        <v>1952</v>
      </c>
      <c r="K52" t="s">
        <v>20</v>
      </c>
      <c r="L52" t="s">
        <v>83</v>
      </c>
      <c r="M52" t="s">
        <v>114</v>
      </c>
      <c r="N52" t="s">
        <v>116</v>
      </c>
      <c r="O52" t="s">
        <v>107</v>
      </c>
    </row>
    <row r="53" spans="1:15" x14ac:dyDescent="0.3">
      <c r="A53">
        <v>17</v>
      </c>
      <c r="B53" t="s">
        <v>112</v>
      </c>
      <c r="C53" t="s">
        <v>16</v>
      </c>
      <c r="D53">
        <v>32</v>
      </c>
      <c r="E53">
        <v>175</v>
      </c>
      <c r="F53">
        <v>64</v>
      </c>
      <c r="G53" t="s">
        <v>75</v>
      </c>
      <c r="H53" t="s">
        <v>76</v>
      </c>
      <c r="I53" t="s">
        <v>82</v>
      </c>
      <c r="J53">
        <v>1952</v>
      </c>
      <c r="K53" t="s">
        <v>20</v>
      </c>
      <c r="L53" t="s">
        <v>83</v>
      </c>
      <c r="M53" t="s">
        <v>114</v>
      </c>
      <c r="N53" t="s">
        <v>117</v>
      </c>
      <c r="O53" t="s">
        <v>24</v>
      </c>
    </row>
    <row r="54" spans="1:15" x14ac:dyDescent="0.3">
      <c r="A54">
        <v>17</v>
      </c>
      <c r="B54" t="s">
        <v>112</v>
      </c>
      <c r="C54" t="s">
        <v>16</v>
      </c>
      <c r="D54">
        <v>32</v>
      </c>
      <c r="E54">
        <v>175</v>
      </c>
      <c r="F54">
        <v>64</v>
      </c>
      <c r="G54" t="s">
        <v>75</v>
      </c>
      <c r="H54" t="s">
        <v>76</v>
      </c>
      <c r="I54" t="s">
        <v>82</v>
      </c>
      <c r="J54">
        <v>1952</v>
      </c>
      <c r="K54" t="s">
        <v>20</v>
      </c>
      <c r="L54" t="s">
        <v>83</v>
      </c>
      <c r="M54" t="s">
        <v>114</v>
      </c>
      <c r="N54" t="s">
        <v>118</v>
      </c>
      <c r="O54" t="s">
        <v>24</v>
      </c>
    </row>
    <row r="55" spans="1:15" x14ac:dyDescent="0.3">
      <c r="A55">
        <v>17</v>
      </c>
      <c r="B55" t="s">
        <v>112</v>
      </c>
      <c r="C55" t="s">
        <v>16</v>
      </c>
      <c r="D55">
        <v>32</v>
      </c>
      <c r="E55">
        <v>175</v>
      </c>
      <c r="F55">
        <v>64</v>
      </c>
      <c r="G55" t="s">
        <v>75</v>
      </c>
      <c r="H55" t="s">
        <v>76</v>
      </c>
      <c r="I55" t="s">
        <v>82</v>
      </c>
      <c r="J55">
        <v>1952</v>
      </c>
      <c r="K55" t="s">
        <v>20</v>
      </c>
      <c r="L55" t="s">
        <v>83</v>
      </c>
      <c r="M55" t="s">
        <v>114</v>
      </c>
      <c r="N55" t="s">
        <v>119</v>
      </c>
      <c r="O55" t="s">
        <v>24</v>
      </c>
    </row>
    <row r="56" spans="1:15" x14ac:dyDescent="0.3">
      <c r="A56">
        <v>17</v>
      </c>
      <c r="B56" t="s">
        <v>112</v>
      </c>
      <c r="C56" t="s">
        <v>16</v>
      </c>
      <c r="D56">
        <v>32</v>
      </c>
      <c r="E56">
        <v>175</v>
      </c>
      <c r="F56">
        <v>64</v>
      </c>
      <c r="G56" t="s">
        <v>75</v>
      </c>
      <c r="H56" t="s">
        <v>76</v>
      </c>
      <c r="I56" t="s">
        <v>82</v>
      </c>
      <c r="J56">
        <v>1952</v>
      </c>
      <c r="K56" t="s">
        <v>20</v>
      </c>
      <c r="L56" t="s">
        <v>83</v>
      </c>
      <c r="M56" t="s">
        <v>114</v>
      </c>
      <c r="N56" t="s">
        <v>120</v>
      </c>
      <c r="O56" t="s">
        <v>24</v>
      </c>
    </row>
    <row r="57" spans="1:15" x14ac:dyDescent="0.3">
      <c r="A57">
        <v>17</v>
      </c>
      <c r="B57" t="s">
        <v>112</v>
      </c>
      <c r="C57" t="s">
        <v>16</v>
      </c>
      <c r="D57">
        <v>32</v>
      </c>
      <c r="E57">
        <v>175</v>
      </c>
      <c r="F57">
        <v>64</v>
      </c>
      <c r="G57" t="s">
        <v>75</v>
      </c>
      <c r="H57" t="s">
        <v>76</v>
      </c>
      <c r="I57" t="s">
        <v>82</v>
      </c>
      <c r="J57">
        <v>1952</v>
      </c>
      <c r="K57" t="s">
        <v>20</v>
      </c>
      <c r="L57" t="s">
        <v>83</v>
      </c>
      <c r="M57" t="s">
        <v>114</v>
      </c>
      <c r="N57" t="s">
        <v>121</v>
      </c>
      <c r="O57" t="s">
        <v>24</v>
      </c>
    </row>
    <row r="58" spans="1:15" x14ac:dyDescent="0.3">
      <c r="A58">
        <v>17</v>
      </c>
      <c r="B58" t="s">
        <v>112</v>
      </c>
      <c r="C58" t="s">
        <v>16</v>
      </c>
      <c r="D58">
        <v>32</v>
      </c>
      <c r="E58">
        <v>175</v>
      </c>
      <c r="F58">
        <v>64</v>
      </c>
      <c r="G58" t="s">
        <v>75</v>
      </c>
      <c r="H58" t="s">
        <v>76</v>
      </c>
      <c r="I58" t="s">
        <v>82</v>
      </c>
      <c r="J58">
        <v>1952</v>
      </c>
      <c r="K58" t="s">
        <v>20</v>
      </c>
      <c r="L58" t="s">
        <v>83</v>
      </c>
      <c r="M58" t="s">
        <v>114</v>
      </c>
      <c r="N58" t="s">
        <v>122</v>
      </c>
      <c r="O58" t="s">
        <v>24</v>
      </c>
    </row>
    <row r="59" spans="1:15" x14ac:dyDescent="0.3">
      <c r="A59">
        <v>18</v>
      </c>
      <c r="B59" t="s">
        <v>123</v>
      </c>
      <c r="C59" t="s">
        <v>16</v>
      </c>
      <c r="D59">
        <v>31</v>
      </c>
      <c r="E59">
        <v>189</v>
      </c>
      <c r="F59">
        <v>130</v>
      </c>
      <c r="G59" t="s">
        <v>75</v>
      </c>
      <c r="H59" t="s">
        <v>76</v>
      </c>
      <c r="I59" t="s">
        <v>90</v>
      </c>
      <c r="J59">
        <v>2000</v>
      </c>
      <c r="K59" t="s">
        <v>20</v>
      </c>
      <c r="L59" t="s">
        <v>91</v>
      </c>
      <c r="M59" t="s">
        <v>71</v>
      </c>
      <c r="N59" t="s">
        <v>124</v>
      </c>
      <c r="O59" t="s">
        <v>24</v>
      </c>
    </row>
    <row r="60" spans="1:15" x14ac:dyDescent="0.3">
      <c r="A60">
        <v>19</v>
      </c>
      <c r="B60" t="s">
        <v>125</v>
      </c>
      <c r="C60" t="s">
        <v>16</v>
      </c>
      <c r="D60">
        <v>54</v>
      </c>
      <c r="E60" t="s">
        <v>24</v>
      </c>
      <c r="F60" t="s">
        <v>24</v>
      </c>
      <c r="G60" t="s">
        <v>75</v>
      </c>
      <c r="H60" t="s">
        <v>76</v>
      </c>
      <c r="I60" t="s">
        <v>113</v>
      </c>
      <c r="J60">
        <v>1948</v>
      </c>
      <c r="K60" t="s">
        <v>20</v>
      </c>
      <c r="L60" t="s">
        <v>27</v>
      </c>
      <c r="M60" t="s">
        <v>126</v>
      </c>
      <c r="N60" t="s">
        <v>127</v>
      </c>
      <c r="O60" t="s">
        <v>24</v>
      </c>
    </row>
    <row r="61" spans="1:15" x14ac:dyDescent="0.3">
      <c r="A61">
        <v>20</v>
      </c>
      <c r="B61" t="s">
        <v>128</v>
      </c>
      <c r="C61" t="s">
        <v>16</v>
      </c>
      <c r="D61">
        <v>20</v>
      </c>
      <c r="E61">
        <v>176</v>
      </c>
      <c r="F61">
        <v>85</v>
      </c>
      <c r="G61" t="s">
        <v>129</v>
      </c>
      <c r="H61" t="s">
        <v>130</v>
      </c>
      <c r="I61" t="s">
        <v>54</v>
      </c>
      <c r="J61">
        <v>1992</v>
      </c>
      <c r="K61" t="s">
        <v>49</v>
      </c>
      <c r="L61" t="s">
        <v>55</v>
      </c>
      <c r="M61" t="s">
        <v>131</v>
      </c>
      <c r="N61" t="s">
        <v>132</v>
      </c>
      <c r="O61" t="s">
        <v>24</v>
      </c>
    </row>
    <row r="62" spans="1:15" x14ac:dyDescent="0.3">
      <c r="A62">
        <v>20</v>
      </c>
      <c r="B62" t="s">
        <v>128</v>
      </c>
      <c r="C62" t="s">
        <v>16</v>
      </c>
      <c r="D62">
        <v>20</v>
      </c>
      <c r="E62">
        <v>176</v>
      </c>
      <c r="F62">
        <v>85</v>
      </c>
      <c r="G62" t="s">
        <v>129</v>
      </c>
      <c r="H62" t="s">
        <v>130</v>
      </c>
      <c r="I62" t="s">
        <v>54</v>
      </c>
      <c r="J62">
        <v>1992</v>
      </c>
      <c r="K62" t="s">
        <v>49</v>
      </c>
      <c r="L62" t="s">
        <v>55</v>
      </c>
      <c r="M62" t="s">
        <v>131</v>
      </c>
      <c r="N62" t="s">
        <v>133</v>
      </c>
      <c r="O62" t="s">
        <v>43</v>
      </c>
    </row>
    <row r="63" spans="1:15" x14ac:dyDescent="0.3">
      <c r="A63">
        <v>20</v>
      </c>
      <c r="B63" t="s">
        <v>128</v>
      </c>
      <c r="C63" t="s">
        <v>16</v>
      </c>
      <c r="D63">
        <v>20</v>
      </c>
      <c r="E63">
        <v>176</v>
      </c>
      <c r="F63">
        <v>85</v>
      </c>
      <c r="G63" t="s">
        <v>129</v>
      </c>
      <c r="H63" t="s">
        <v>130</v>
      </c>
      <c r="I63" t="s">
        <v>54</v>
      </c>
      <c r="J63">
        <v>1992</v>
      </c>
      <c r="K63" t="s">
        <v>49</v>
      </c>
      <c r="L63" t="s">
        <v>55</v>
      </c>
      <c r="M63" t="s">
        <v>131</v>
      </c>
      <c r="N63" t="s">
        <v>134</v>
      </c>
      <c r="O63" t="s">
        <v>107</v>
      </c>
    </row>
    <row r="64" spans="1:15" x14ac:dyDescent="0.3">
      <c r="A64">
        <v>20</v>
      </c>
      <c r="B64" t="s">
        <v>128</v>
      </c>
      <c r="C64" t="s">
        <v>16</v>
      </c>
      <c r="D64">
        <v>20</v>
      </c>
      <c r="E64">
        <v>176</v>
      </c>
      <c r="F64">
        <v>85</v>
      </c>
      <c r="G64" t="s">
        <v>129</v>
      </c>
      <c r="H64" t="s">
        <v>130</v>
      </c>
      <c r="I64" t="s">
        <v>54</v>
      </c>
      <c r="J64">
        <v>1992</v>
      </c>
      <c r="K64" t="s">
        <v>49</v>
      </c>
      <c r="L64" t="s">
        <v>55</v>
      </c>
      <c r="M64" t="s">
        <v>131</v>
      </c>
      <c r="N64" t="s">
        <v>135</v>
      </c>
      <c r="O64" t="s">
        <v>24</v>
      </c>
    </row>
    <row r="65" spans="1:15" x14ac:dyDescent="0.3">
      <c r="A65">
        <v>20</v>
      </c>
      <c r="B65" t="s">
        <v>128</v>
      </c>
      <c r="C65" t="s">
        <v>16</v>
      </c>
      <c r="D65">
        <v>22</v>
      </c>
      <c r="E65">
        <v>176</v>
      </c>
      <c r="F65">
        <v>85</v>
      </c>
      <c r="G65" t="s">
        <v>129</v>
      </c>
      <c r="H65" t="s">
        <v>130</v>
      </c>
      <c r="I65" t="s">
        <v>56</v>
      </c>
      <c r="J65">
        <v>1994</v>
      </c>
      <c r="K65" t="s">
        <v>49</v>
      </c>
      <c r="L65" t="s">
        <v>57</v>
      </c>
      <c r="M65" t="s">
        <v>131</v>
      </c>
      <c r="N65" t="s">
        <v>132</v>
      </c>
      <c r="O65" t="s">
        <v>136</v>
      </c>
    </row>
    <row r="66" spans="1:15" x14ac:dyDescent="0.3">
      <c r="A66">
        <v>20</v>
      </c>
      <c r="B66" t="s">
        <v>128</v>
      </c>
      <c r="C66" t="s">
        <v>16</v>
      </c>
      <c r="D66">
        <v>22</v>
      </c>
      <c r="E66">
        <v>176</v>
      </c>
      <c r="F66">
        <v>85</v>
      </c>
      <c r="G66" t="s">
        <v>129</v>
      </c>
      <c r="H66" t="s">
        <v>130</v>
      </c>
      <c r="I66" t="s">
        <v>56</v>
      </c>
      <c r="J66">
        <v>1994</v>
      </c>
      <c r="K66" t="s">
        <v>49</v>
      </c>
      <c r="L66" t="s">
        <v>57</v>
      </c>
      <c r="M66" t="s">
        <v>131</v>
      </c>
      <c r="N66" t="s">
        <v>133</v>
      </c>
      <c r="O66" t="s">
        <v>107</v>
      </c>
    </row>
    <row r="67" spans="1:15" x14ac:dyDescent="0.3">
      <c r="A67">
        <v>20</v>
      </c>
      <c r="B67" t="s">
        <v>128</v>
      </c>
      <c r="C67" t="s">
        <v>16</v>
      </c>
      <c r="D67">
        <v>22</v>
      </c>
      <c r="E67">
        <v>176</v>
      </c>
      <c r="F67">
        <v>85</v>
      </c>
      <c r="G67" t="s">
        <v>129</v>
      </c>
      <c r="H67" t="s">
        <v>130</v>
      </c>
      <c r="I67" t="s">
        <v>56</v>
      </c>
      <c r="J67">
        <v>1994</v>
      </c>
      <c r="K67" t="s">
        <v>49</v>
      </c>
      <c r="L67" t="s">
        <v>57</v>
      </c>
      <c r="M67" t="s">
        <v>131</v>
      </c>
      <c r="N67" t="s">
        <v>134</v>
      </c>
      <c r="O67" t="s">
        <v>24</v>
      </c>
    </row>
    <row r="68" spans="1:15" x14ac:dyDescent="0.3">
      <c r="A68">
        <v>20</v>
      </c>
      <c r="B68" t="s">
        <v>128</v>
      </c>
      <c r="C68" t="s">
        <v>16</v>
      </c>
      <c r="D68">
        <v>22</v>
      </c>
      <c r="E68">
        <v>176</v>
      </c>
      <c r="F68">
        <v>85</v>
      </c>
      <c r="G68" t="s">
        <v>129</v>
      </c>
      <c r="H68" t="s">
        <v>130</v>
      </c>
      <c r="I68" t="s">
        <v>56</v>
      </c>
      <c r="J68">
        <v>1994</v>
      </c>
      <c r="K68" t="s">
        <v>49</v>
      </c>
      <c r="L68" t="s">
        <v>57</v>
      </c>
      <c r="M68" t="s">
        <v>131</v>
      </c>
      <c r="N68" t="s">
        <v>135</v>
      </c>
      <c r="O68" t="s">
        <v>24</v>
      </c>
    </row>
    <row r="69" spans="1:15" x14ac:dyDescent="0.3">
      <c r="A69">
        <v>20</v>
      </c>
      <c r="B69" t="s">
        <v>128</v>
      </c>
      <c r="C69" t="s">
        <v>16</v>
      </c>
      <c r="D69">
        <v>22</v>
      </c>
      <c r="E69">
        <v>176</v>
      </c>
      <c r="F69">
        <v>85</v>
      </c>
      <c r="G69" t="s">
        <v>129</v>
      </c>
      <c r="H69" t="s">
        <v>130</v>
      </c>
      <c r="I69" t="s">
        <v>56</v>
      </c>
      <c r="J69">
        <v>1994</v>
      </c>
      <c r="K69" t="s">
        <v>49</v>
      </c>
      <c r="L69" t="s">
        <v>57</v>
      </c>
      <c r="M69" t="s">
        <v>131</v>
      </c>
      <c r="N69" t="s">
        <v>137</v>
      </c>
      <c r="O69" t="s">
        <v>136</v>
      </c>
    </row>
    <row r="70" spans="1:15" x14ac:dyDescent="0.3">
      <c r="A70">
        <v>20</v>
      </c>
      <c r="B70" t="s">
        <v>128</v>
      </c>
      <c r="C70" t="s">
        <v>16</v>
      </c>
      <c r="D70">
        <v>26</v>
      </c>
      <c r="E70">
        <v>176</v>
      </c>
      <c r="F70">
        <v>85</v>
      </c>
      <c r="G70" t="s">
        <v>129</v>
      </c>
      <c r="H70" t="s">
        <v>130</v>
      </c>
      <c r="I70" t="s">
        <v>138</v>
      </c>
      <c r="J70">
        <v>1998</v>
      </c>
      <c r="K70" t="s">
        <v>49</v>
      </c>
      <c r="L70" t="s">
        <v>139</v>
      </c>
      <c r="M70" t="s">
        <v>131</v>
      </c>
      <c r="N70" t="s">
        <v>132</v>
      </c>
      <c r="O70" t="s">
        <v>24</v>
      </c>
    </row>
    <row r="71" spans="1:15" x14ac:dyDescent="0.3">
      <c r="A71">
        <v>20</v>
      </c>
      <c r="B71" t="s">
        <v>128</v>
      </c>
      <c r="C71" t="s">
        <v>16</v>
      </c>
      <c r="D71">
        <v>26</v>
      </c>
      <c r="E71">
        <v>176</v>
      </c>
      <c r="F71">
        <v>85</v>
      </c>
      <c r="G71" t="s">
        <v>129</v>
      </c>
      <c r="H71" t="s">
        <v>130</v>
      </c>
      <c r="I71" t="s">
        <v>138</v>
      </c>
      <c r="J71">
        <v>1998</v>
      </c>
      <c r="K71" t="s">
        <v>49</v>
      </c>
      <c r="L71" t="s">
        <v>139</v>
      </c>
      <c r="M71" t="s">
        <v>131</v>
      </c>
      <c r="N71" t="s">
        <v>133</v>
      </c>
      <c r="O71" t="s">
        <v>24</v>
      </c>
    </row>
    <row r="72" spans="1:15" x14ac:dyDescent="0.3">
      <c r="A72">
        <v>20</v>
      </c>
      <c r="B72" t="s">
        <v>128</v>
      </c>
      <c r="C72" t="s">
        <v>16</v>
      </c>
      <c r="D72">
        <v>26</v>
      </c>
      <c r="E72">
        <v>176</v>
      </c>
      <c r="F72">
        <v>85</v>
      </c>
      <c r="G72" t="s">
        <v>129</v>
      </c>
      <c r="H72" t="s">
        <v>130</v>
      </c>
      <c r="I72" t="s">
        <v>138</v>
      </c>
      <c r="J72">
        <v>1998</v>
      </c>
      <c r="K72" t="s">
        <v>49</v>
      </c>
      <c r="L72" t="s">
        <v>139</v>
      </c>
      <c r="M72" t="s">
        <v>131</v>
      </c>
      <c r="N72" t="s">
        <v>134</v>
      </c>
      <c r="O72" t="s">
        <v>24</v>
      </c>
    </row>
    <row r="73" spans="1:15" x14ac:dyDescent="0.3">
      <c r="A73">
        <v>20</v>
      </c>
      <c r="B73" t="s">
        <v>128</v>
      </c>
      <c r="C73" t="s">
        <v>16</v>
      </c>
      <c r="D73">
        <v>26</v>
      </c>
      <c r="E73">
        <v>176</v>
      </c>
      <c r="F73">
        <v>85</v>
      </c>
      <c r="G73" t="s">
        <v>129</v>
      </c>
      <c r="H73" t="s">
        <v>130</v>
      </c>
      <c r="I73" t="s">
        <v>138</v>
      </c>
      <c r="J73">
        <v>1998</v>
      </c>
      <c r="K73" t="s">
        <v>49</v>
      </c>
      <c r="L73" t="s">
        <v>139</v>
      </c>
      <c r="M73" t="s">
        <v>131</v>
      </c>
      <c r="N73" t="s">
        <v>137</v>
      </c>
      <c r="O73" t="s">
        <v>24</v>
      </c>
    </row>
    <row r="74" spans="1:15" x14ac:dyDescent="0.3">
      <c r="A74">
        <v>20</v>
      </c>
      <c r="B74" t="s">
        <v>128</v>
      </c>
      <c r="C74" t="s">
        <v>16</v>
      </c>
      <c r="D74">
        <v>30</v>
      </c>
      <c r="E74">
        <v>176</v>
      </c>
      <c r="F74">
        <v>85</v>
      </c>
      <c r="G74" t="s">
        <v>129</v>
      </c>
      <c r="H74" t="s">
        <v>130</v>
      </c>
      <c r="I74" t="s">
        <v>77</v>
      </c>
      <c r="J74">
        <v>2002</v>
      </c>
      <c r="K74" t="s">
        <v>49</v>
      </c>
      <c r="L74" t="s">
        <v>78</v>
      </c>
      <c r="M74" t="s">
        <v>131</v>
      </c>
      <c r="N74" t="s">
        <v>132</v>
      </c>
      <c r="O74" t="s">
        <v>24</v>
      </c>
    </row>
    <row r="75" spans="1:15" x14ac:dyDescent="0.3">
      <c r="A75">
        <v>20</v>
      </c>
      <c r="B75" t="s">
        <v>128</v>
      </c>
      <c r="C75" t="s">
        <v>16</v>
      </c>
      <c r="D75">
        <v>30</v>
      </c>
      <c r="E75">
        <v>176</v>
      </c>
      <c r="F75">
        <v>85</v>
      </c>
      <c r="G75" t="s">
        <v>129</v>
      </c>
      <c r="H75" t="s">
        <v>130</v>
      </c>
      <c r="I75" t="s">
        <v>77</v>
      </c>
      <c r="J75">
        <v>2002</v>
      </c>
      <c r="K75" t="s">
        <v>49</v>
      </c>
      <c r="L75" t="s">
        <v>78</v>
      </c>
      <c r="M75" t="s">
        <v>131</v>
      </c>
      <c r="N75" t="s">
        <v>133</v>
      </c>
      <c r="O75" t="s">
        <v>43</v>
      </c>
    </row>
    <row r="76" spans="1:15" x14ac:dyDescent="0.3">
      <c r="A76">
        <v>20</v>
      </c>
      <c r="B76" t="s">
        <v>128</v>
      </c>
      <c r="C76" t="s">
        <v>16</v>
      </c>
      <c r="D76">
        <v>30</v>
      </c>
      <c r="E76">
        <v>176</v>
      </c>
      <c r="F76">
        <v>85</v>
      </c>
      <c r="G76" t="s">
        <v>129</v>
      </c>
      <c r="H76" t="s">
        <v>130</v>
      </c>
      <c r="I76" t="s">
        <v>77</v>
      </c>
      <c r="J76">
        <v>2002</v>
      </c>
      <c r="K76" t="s">
        <v>49</v>
      </c>
      <c r="L76" t="s">
        <v>78</v>
      </c>
      <c r="M76" t="s">
        <v>131</v>
      </c>
      <c r="N76" t="s">
        <v>134</v>
      </c>
      <c r="O76" t="s">
        <v>24</v>
      </c>
    </row>
    <row r="77" spans="1:15" x14ac:dyDescent="0.3">
      <c r="A77">
        <v>20</v>
      </c>
      <c r="B77" t="s">
        <v>128</v>
      </c>
      <c r="C77" t="s">
        <v>16</v>
      </c>
      <c r="D77">
        <v>30</v>
      </c>
      <c r="E77">
        <v>176</v>
      </c>
      <c r="F77">
        <v>85</v>
      </c>
      <c r="G77" t="s">
        <v>129</v>
      </c>
      <c r="H77" t="s">
        <v>130</v>
      </c>
      <c r="I77" t="s">
        <v>77</v>
      </c>
      <c r="J77">
        <v>2002</v>
      </c>
      <c r="K77" t="s">
        <v>49</v>
      </c>
      <c r="L77" t="s">
        <v>78</v>
      </c>
      <c r="M77" t="s">
        <v>131</v>
      </c>
      <c r="N77" t="s">
        <v>135</v>
      </c>
      <c r="O77" t="s">
        <v>24</v>
      </c>
    </row>
    <row r="78" spans="1:15" x14ac:dyDescent="0.3">
      <c r="A78">
        <v>20</v>
      </c>
      <c r="B78" t="s">
        <v>128</v>
      </c>
      <c r="C78" t="s">
        <v>16</v>
      </c>
      <c r="D78">
        <v>30</v>
      </c>
      <c r="E78">
        <v>176</v>
      </c>
      <c r="F78">
        <v>85</v>
      </c>
      <c r="G78" t="s">
        <v>129</v>
      </c>
      <c r="H78" t="s">
        <v>130</v>
      </c>
      <c r="I78" t="s">
        <v>77</v>
      </c>
      <c r="J78">
        <v>2002</v>
      </c>
      <c r="K78" t="s">
        <v>49</v>
      </c>
      <c r="L78" t="s">
        <v>78</v>
      </c>
      <c r="M78" t="s">
        <v>131</v>
      </c>
      <c r="N78" t="s">
        <v>137</v>
      </c>
      <c r="O78" t="s">
        <v>43</v>
      </c>
    </row>
    <row r="79" spans="1:15" x14ac:dyDescent="0.3">
      <c r="A79">
        <v>20</v>
      </c>
      <c r="B79" t="s">
        <v>128</v>
      </c>
      <c r="C79" t="s">
        <v>16</v>
      </c>
      <c r="D79">
        <v>34</v>
      </c>
      <c r="E79">
        <v>176</v>
      </c>
      <c r="F79">
        <v>85</v>
      </c>
      <c r="G79" t="s">
        <v>129</v>
      </c>
      <c r="H79" t="s">
        <v>130</v>
      </c>
      <c r="I79" t="s">
        <v>140</v>
      </c>
      <c r="J79">
        <v>2006</v>
      </c>
      <c r="K79" t="s">
        <v>49</v>
      </c>
      <c r="L79" t="s">
        <v>141</v>
      </c>
      <c r="M79" t="s">
        <v>131</v>
      </c>
      <c r="N79" t="s">
        <v>132</v>
      </c>
      <c r="O79" t="s">
        <v>24</v>
      </c>
    </row>
    <row r="80" spans="1:15" x14ac:dyDescent="0.3">
      <c r="A80">
        <v>20</v>
      </c>
      <c r="B80" t="s">
        <v>128</v>
      </c>
      <c r="C80" t="s">
        <v>16</v>
      </c>
      <c r="D80">
        <v>34</v>
      </c>
      <c r="E80">
        <v>176</v>
      </c>
      <c r="F80">
        <v>85</v>
      </c>
      <c r="G80" t="s">
        <v>129</v>
      </c>
      <c r="H80" t="s">
        <v>130</v>
      </c>
      <c r="I80" t="s">
        <v>140</v>
      </c>
      <c r="J80">
        <v>2006</v>
      </c>
      <c r="K80" t="s">
        <v>49</v>
      </c>
      <c r="L80" t="s">
        <v>141</v>
      </c>
      <c r="M80" t="s">
        <v>131</v>
      </c>
      <c r="N80" t="s">
        <v>133</v>
      </c>
      <c r="O80" t="s">
        <v>43</v>
      </c>
    </row>
    <row r="81" spans="1:15" x14ac:dyDescent="0.3">
      <c r="A81">
        <v>21</v>
      </c>
      <c r="B81" t="s">
        <v>142</v>
      </c>
      <c r="C81" t="s">
        <v>45</v>
      </c>
      <c r="D81">
        <v>27</v>
      </c>
      <c r="E81">
        <v>163</v>
      </c>
      <c r="F81" t="s">
        <v>24</v>
      </c>
      <c r="G81" t="s">
        <v>129</v>
      </c>
      <c r="H81" t="s">
        <v>130</v>
      </c>
      <c r="I81" t="s">
        <v>143</v>
      </c>
      <c r="J81">
        <v>2008</v>
      </c>
      <c r="K81" t="s">
        <v>20</v>
      </c>
      <c r="L81" t="s">
        <v>144</v>
      </c>
      <c r="M81" t="s">
        <v>145</v>
      </c>
      <c r="N81" t="s">
        <v>146</v>
      </c>
      <c r="O81" t="s">
        <v>43</v>
      </c>
    </row>
    <row r="82" spans="1:15" x14ac:dyDescent="0.3">
      <c r="A82">
        <v>22</v>
      </c>
      <c r="B82" t="s">
        <v>147</v>
      </c>
      <c r="C82" t="s">
        <v>45</v>
      </c>
      <c r="D82">
        <v>22</v>
      </c>
      <c r="E82">
        <v>170</v>
      </c>
      <c r="F82">
        <v>125</v>
      </c>
      <c r="G82" t="s">
        <v>148</v>
      </c>
      <c r="H82" t="s">
        <v>149</v>
      </c>
      <c r="I82" t="s">
        <v>150</v>
      </c>
      <c r="J82">
        <v>2016</v>
      </c>
      <c r="K82" t="s">
        <v>20</v>
      </c>
      <c r="L82" t="s">
        <v>151</v>
      </c>
      <c r="M82" t="s">
        <v>152</v>
      </c>
      <c r="N82" t="s">
        <v>153</v>
      </c>
      <c r="O82" t="s">
        <v>24</v>
      </c>
    </row>
    <row r="83" spans="1:15" x14ac:dyDescent="0.3">
      <c r="A83">
        <v>23</v>
      </c>
      <c r="B83" t="s">
        <v>154</v>
      </c>
      <c r="C83" t="s">
        <v>16</v>
      </c>
      <c r="D83">
        <v>22</v>
      </c>
      <c r="E83">
        <v>187</v>
      </c>
      <c r="F83">
        <v>89</v>
      </c>
      <c r="G83" t="s">
        <v>129</v>
      </c>
      <c r="H83" t="s">
        <v>130</v>
      </c>
      <c r="I83" t="s">
        <v>90</v>
      </c>
      <c r="J83">
        <v>2000</v>
      </c>
      <c r="K83" t="s">
        <v>20</v>
      </c>
      <c r="L83" t="s">
        <v>91</v>
      </c>
      <c r="M83" t="s">
        <v>155</v>
      </c>
      <c r="N83" t="s">
        <v>156</v>
      </c>
      <c r="O83" t="s">
        <v>24</v>
      </c>
    </row>
    <row r="84" spans="1:15" x14ac:dyDescent="0.3">
      <c r="A84">
        <v>23</v>
      </c>
      <c r="B84" t="s">
        <v>154</v>
      </c>
      <c r="C84" t="s">
        <v>16</v>
      </c>
      <c r="D84">
        <v>26</v>
      </c>
      <c r="E84">
        <v>187</v>
      </c>
      <c r="F84">
        <v>89</v>
      </c>
      <c r="G84" t="s">
        <v>129</v>
      </c>
      <c r="H84" t="s">
        <v>130</v>
      </c>
      <c r="I84" t="s">
        <v>157</v>
      </c>
      <c r="J84">
        <v>2004</v>
      </c>
      <c r="K84" t="s">
        <v>20</v>
      </c>
      <c r="L84" t="s">
        <v>158</v>
      </c>
      <c r="M84" t="s">
        <v>155</v>
      </c>
      <c r="N84" t="s">
        <v>156</v>
      </c>
      <c r="O84" t="s">
        <v>24</v>
      </c>
    </row>
    <row r="85" spans="1:15" x14ac:dyDescent="0.3">
      <c r="A85">
        <v>24</v>
      </c>
      <c r="B85" t="s">
        <v>159</v>
      </c>
      <c r="C85" t="s">
        <v>16</v>
      </c>
      <c r="D85">
        <v>24</v>
      </c>
      <c r="E85" t="s">
        <v>24</v>
      </c>
      <c r="F85" t="s">
        <v>24</v>
      </c>
      <c r="G85" t="s">
        <v>129</v>
      </c>
      <c r="H85" t="s">
        <v>130</v>
      </c>
      <c r="I85" t="s">
        <v>160</v>
      </c>
      <c r="J85">
        <v>1960</v>
      </c>
      <c r="K85" t="s">
        <v>49</v>
      </c>
      <c r="L85" t="s">
        <v>161</v>
      </c>
      <c r="M85" t="s">
        <v>51</v>
      </c>
      <c r="N85" t="s">
        <v>162</v>
      </c>
      <c r="O85" t="s">
        <v>24</v>
      </c>
    </row>
    <row r="86" spans="1:15" x14ac:dyDescent="0.3">
      <c r="A86">
        <v>24</v>
      </c>
      <c r="B86" t="s">
        <v>159</v>
      </c>
      <c r="C86" t="s">
        <v>16</v>
      </c>
      <c r="D86">
        <v>24</v>
      </c>
      <c r="E86" t="s">
        <v>24</v>
      </c>
      <c r="F86" t="s">
        <v>24</v>
      </c>
      <c r="G86" t="s">
        <v>129</v>
      </c>
      <c r="H86" t="s">
        <v>130</v>
      </c>
      <c r="I86" t="s">
        <v>160</v>
      </c>
      <c r="J86">
        <v>1960</v>
      </c>
      <c r="K86" t="s">
        <v>49</v>
      </c>
      <c r="L86" t="s">
        <v>161</v>
      </c>
      <c r="M86" t="s">
        <v>51</v>
      </c>
      <c r="N86" t="s">
        <v>163</v>
      </c>
      <c r="O86" t="s">
        <v>24</v>
      </c>
    </row>
    <row r="87" spans="1:15" x14ac:dyDescent="0.3">
      <c r="A87">
        <v>24</v>
      </c>
      <c r="B87" t="s">
        <v>159</v>
      </c>
      <c r="C87" t="s">
        <v>16</v>
      </c>
      <c r="D87">
        <v>27</v>
      </c>
      <c r="E87" t="s">
        <v>24</v>
      </c>
      <c r="F87" t="s">
        <v>24</v>
      </c>
      <c r="G87" t="s">
        <v>129</v>
      </c>
      <c r="H87" t="s">
        <v>130</v>
      </c>
      <c r="I87" t="s">
        <v>164</v>
      </c>
      <c r="J87">
        <v>1964</v>
      </c>
      <c r="K87" t="s">
        <v>49</v>
      </c>
      <c r="L87" t="s">
        <v>165</v>
      </c>
      <c r="M87" t="s">
        <v>51</v>
      </c>
      <c r="N87" t="s">
        <v>163</v>
      </c>
      <c r="O87" t="s">
        <v>24</v>
      </c>
    </row>
    <row r="88" spans="1:15" x14ac:dyDescent="0.3">
      <c r="A88">
        <v>25</v>
      </c>
      <c r="B88" t="s">
        <v>166</v>
      </c>
      <c r="C88" t="s">
        <v>16</v>
      </c>
      <c r="D88">
        <v>24</v>
      </c>
      <c r="E88" t="s">
        <v>24</v>
      </c>
      <c r="F88" t="s">
        <v>24</v>
      </c>
      <c r="G88" t="s">
        <v>129</v>
      </c>
      <c r="H88" t="s">
        <v>130</v>
      </c>
      <c r="I88" t="s">
        <v>33</v>
      </c>
      <c r="J88">
        <v>1920</v>
      </c>
      <c r="K88" t="s">
        <v>20</v>
      </c>
      <c r="L88" t="s">
        <v>34</v>
      </c>
      <c r="M88" t="s">
        <v>114</v>
      </c>
      <c r="N88" t="s">
        <v>167</v>
      </c>
      <c r="O88" t="s">
        <v>136</v>
      </c>
    </row>
    <row r="89" spans="1:15" x14ac:dyDescent="0.3">
      <c r="A89">
        <v>26</v>
      </c>
      <c r="B89" t="s">
        <v>168</v>
      </c>
      <c r="C89" t="s">
        <v>45</v>
      </c>
      <c r="D89">
        <v>17</v>
      </c>
      <c r="E89">
        <v>169</v>
      </c>
      <c r="F89">
        <v>65</v>
      </c>
      <c r="G89" t="s">
        <v>129</v>
      </c>
      <c r="H89" t="s">
        <v>130</v>
      </c>
      <c r="I89" t="s">
        <v>169</v>
      </c>
      <c r="J89">
        <v>1984</v>
      </c>
      <c r="K89" t="s">
        <v>49</v>
      </c>
      <c r="L89" t="s">
        <v>170</v>
      </c>
      <c r="M89" t="s">
        <v>171</v>
      </c>
      <c r="N89" t="s">
        <v>172</v>
      </c>
      <c r="O89" t="s">
        <v>24</v>
      </c>
    </row>
    <row r="90" spans="1:15" x14ac:dyDescent="0.3">
      <c r="A90">
        <v>27</v>
      </c>
      <c r="B90" t="s">
        <v>173</v>
      </c>
      <c r="C90" t="s">
        <v>16</v>
      </c>
      <c r="D90">
        <v>26</v>
      </c>
      <c r="E90" t="s">
        <v>24</v>
      </c>
      <c r="F90" t="s">
        <v>24</v>
      </c>
      <c r="G90" t="s">
        <v>46</v>
      </c>
      <c r="H90" t="s">
        <v>47</v>
      </c>
      <c r="I90" t="s">
        <v>174</v>
      </c>
      <c r="J90">
        <v>1984</v>
      </c>
      <c r="K90" t="s">
        <v>20</v>
      </c>
      <c r="L90" t="s">
        <v>70</v>
      </c>
      <c r="M90" t="s">
        <v>175</v>
      </c>
      <c r="N90" t="s">
        <v>176</v>
      </c>
      <c r="O90" t="s">
        <v>24</v>
      </c>
    </row>
    <row r="91" spans="1:15" x14ac:dyDescent="0.3">
      <c r="A91">
        <v>28</v>
      </c>
      <c r="B91" t="s">
        <v>177</v>
      </c>
      <c r="C91" t="s">
        <v>16</v>
      </c>
      <c r="D91">
        <v>43</v>
      </c>
      <c r="E91">
        <v>170</v>
      </c>
      <c r="F91">
        <v>77</v>
      </c>
      <c r="G91" t="s">
        <v>129</v>
      </c>
      <c r="H91" t="s">
        <v>130</v>
      </c>
      <c r="I91" t="s">
        <v>178</v>
      </c>
      <c r="J91">
        <v>1968</v>
      </c>
      <c r="K91" t="s">
        <v>20</v>
      </c>
      <c r="L91" t="s">
        <v>179</v>
      </c>
      <c r="M91" t="s">
        <v>97</v>
      </c>
      <c r="N91" t="s">
        <v>180</v>
      </c>
      <c r="O91" t="s">
        <v>24</v>
      </c>
    </row>
    <row r="92" spans="1:15" x14ac:dyDescent="0.3">
      <c r="A92">
        <v>28</v>
      </c>
      <c r="B92" t="s">
        <v>177</v>
      </c>
      <c r="C92" t="s">
        <v>16</v>
      </c>
      <c r="D92">
        <v>47</v>
      </c>
      <c r="E92">
        <v>170</v>
      </c>
      <c r="F92">
        <v>77</v>
      </c>
      <c r="G92" t="s">
        <v>129</v>
      </c>
      <c r="H92" t="s">
        <v>130</v>
      </c>
      <c r="I92" t="s">
        <v>181</v>
      </c>
      <c r="J92">
        <v>1972</v>
      </c>
      <c r="K92" t="s">
        <v>20</v>
      </c>
      <c r="L92" t="s">
        <v>182</v>
      </c>
      <c r="M92" t="s">
        <v>97</v>
      </c>
      <c r="N92" t="s">
        <v>180</v>
      </c>
      <c r="O92" t="s">
        <v>24</v>
      </c>
    </row>
    <row r="93" spans="1:15" x14ac:dyDescent="0.3">
      <c r="A93">
        <v>29</v>
      </c>
      <c r="B93" t="s">
        <v>183</v>
      </c>
      <c r="C93" t="s">
        <v>45</v>
      </c>
      <c r="D93">
        <v>22</v>
      </c>
      <c r="E93" t="s">
        <v>24</v>
      </c>
      <c r="F93" t="s">
        <v>24</v>
      </c>
      <c r="G93" t="s">
        <v>46</v>
      </c>
      <c r="H93" t="s">
        <v>47</v>
      </c>
      <c r="I93" t="s">
        <v>184</v>
      </c>
      <c r="J93">
        <v>1988</v>
      </c>
      <c r="K93" t="s">
        <v>20</v>
      </c>
      <c r="L93" t="s">
        <v>185</v>
      </c>
      <c r="M93" t="s">
        <v>186</v>
      </c>
      <c r="N93" t="s">
        <v>187</v>
      </c>
      <c r="O93" t="s">
        <v>107</v>
      </c>
    </row>
    <row r="94" spans="1:15" x14ac:dyDescent="0.3">
      <c r="A94">
        <v>30</v>
      </c>
      <c r="B94" t="s">
        <v>188</v>
      </c>
      <c r="C94" t="s">
        <v>16</v>
      </c>
      <c r="D94">
        <v>26</v>
      </c>
      <c r="E94">
        <v>189</v>
      </c>
      <c r="F94">
        <v>72</v>
      </c>
      <c r="G94" t="s">
        <v>46</v>
      </c>
      <c r="H94" t="s">
        <v>47</v>
      </c>
      <c r="I94" t="s">
        <v>95</v>
      </c>
      <c r="J94">
        <v>1996</v>
      </c>
      <c r="K94" t="s">
        <v>20</v>
      </c>
      <c r="L94" t="s">
        <v>96</v>
      </c>
      <c r="M94" t="s">
        <v>189</v>
      </c>
      <c r="N94" t="s">
        <v>190</v>
      </c>
      <c r="O94" t="s">
        <v>136</v>
      </c>
    </row>
    <row r="95" spans="1:15" x14ac:dyDescent="0.3">
      <c r="A95">
        <v>30</v>
      </c>
      <c r="B95" t="s">
        <v>188</v>
      </c>
      <c r="C95" t="s">
        <v>16</v>
      </c>
      <c r="D95">
        <v>30</v>
      </c>
      <c r="E95">
        <v>189</v>
      </c>
      <c r="F95">
        <v>72</v>
      </c>
      <c r="G95" t="s">
        <v>46</v>
      </c>
      <c r="H95" t="s">
        <v>47</v>
      </c>
      <c r="I95" t="s">
        <v>90</v>
      </c>
      <c r="J95">
        <v>2000</v>
      </c>
      <c r="K95" t="s">
        <v>20</v>
      </c>
      <c r="L95" t="s">
        <v>91</v>
      </c>
      <c r="M95" t="s">
        <v>189</v>
      </c>
      <c r="N95" t="s">
        <v>190</v>
      </c>
      <c r="O95" t="s">
        <v>24</v>
      </c>
    </row>
    <row r="96" spans="1:15" x14ac:dyDescent="0.3">
      <c r="A96">
        <v>31</v>
      </c>
      <c r="B96" t="s">
        <v>191</v>
      </c>
      <c r="C96" t="s">
        <v>16</v>
      </c>
      <c r="D96">
        <v>24</v>
      </c>
      <c r="E96">
        <v>174</v>
      </c>
      <c r="F96">
        <v>70</v>
      </c>
      <c r="G96" t="s">
        <v>192</v>
      </c>
      <c r="H96" t="s">
        <v>193</v>
      </c>
      <c r="I96" t="s">
        <v>194</v>
      </c>
      <c r="J96">
        <v>1936</v>
      </c>
      <c r="K96" t="s">
        <v>20</v>
      </c>
      <c r="L96" t="s">
        <v>195</v>
      </c>
      <c r="M96" t="s">
        <v>71</v>
      </c>
      <c r="N96" t="s">
        <v>196</v>
      </c>
      <c r="O96" t="s">
        <v>24</v>
      </c>
    </row>
    <row r="97" spans="1:15" x14ac:dyDescent="0.3">
      <c r="A97">
        <v>32</v>
      </c>
      <c r="B97" t="s">
        <v>197</v>
      </c>
      <c r="C97" t="s">
        <v>16</v>
      </c>
      <c r="D97">
        <v>23</v>
      </c>
      <c r="E97" t="s">
        <v>24</v>
      </c>
      <c r="F97" t="s">
        <v>24</v>
      </c>
      <c r="G97" t="s">
        <v>129</v>
      </c>
      <c r="H97" t="s">
        <v>130</v>
      </c>
      <c r="I97" t="s">
        <v>103</v>
      </c>
      <c r="J97">
        <v>1912</v>
      </c>
      <c r="K97" t="s">
        <v>20</v>
      </c>
      <c r="L97" t="s">
        <v>104</v>
      </c>
      <c r="M97" t="s">
        <v>71</v>
      </c>
      <c r="N97" t="s">
        <v>198</v>
      </c>
      <c r="O97" t="s">
        <v>24</v>
      </c>
    </row>
    <row r="98" spans="1:15" x14ac:dyDescent="0.3">
      <c r="A98">
        <v>33</v>
      </c>
      <c r="B98" t="s">
        <v>199</v>
      </c>
      <c r="C98" t="s">
        <v>16</v>
      </c>
      <c r="D98">
        <v>24</v>
      </c>
      <c r="E98">
        <v>187</v>
      </c>
      <c r="F98">
        <v>76</v>
      </c>
      <c r="G98" t="s">
        <v>75</v>
      </c>
      <c r="H98" t="s">
        <v>76</v>
      </c>
      <c r="I98" t="s">
        <v>19</v>
      </c>
      <c r="J98">
        <v>1992</v>
      </c>
      <c r="K98" t="s">
        <v>20</v>
      </c>
      <c r="L98" t="s">
        <v>21</v>
      </c>
      <c r="M98" t="s">
        <v>97</v>
      </c>
      <c r="N98" t="s">
        <v>200</v>
      </c>
      <c r="O98" t="s">
        <v>24</v>
      </c>
    </row>
    <row r="99" spans="1:15" x14ac:dyDescent="0.3">
      <c r="A99">
        <v>33</v>
      </c>
      <c r="B99" t="s">
        <v>199</v>
      </c>
      <c r="C99" t="s">
        <v>16</v>
      </c>
      <c r="D99">
        <v>28</v>
      </c>
      <c r="E99">
        <v>187</v>
      </c>
      <c r="F99">
        <v>76</v>
      </c>
      <c r="G99" t="s">
        <v>75</v>
      </c>
      <c r="H99" t="s">
        <v>76</v>
      </c>
      <c r="I99" t="s">
        <v>95</v>
      </c>
      <c r="J99">
        <v>1996</v>
      </c>
      <c r="K99" t="s">
        <v>20</v>
      </c>
      <c r="L99" t="s">
        <v>96</v>
      </c>
      <c r="M99" t="s">
        <v>97</v>
      </c>
      <c r="N99" t="s">
        <v>200</v>
      </c>
      <c r="O99" t="s">
        <v>24</v>
      </c>
    </row>
    <row r="100" spans="1:15" x14ac:dyDescent="0.3">
      <c r="A100">
        <v>34</v>
      </c>
      <c r="B100" t="s">
        <v>201</v>
      </c>
      <c r="C100" t="s">
        <v>16</v>
      </c>
      <c r="D100">
        <v>30</v>
      </c>
      <c r="E100">
        <v>187</v>
      </c>
      <c r="F100">
        <v>76</v>
      </c>
      <c r="G100" t="s">
        <v>202</v>
      </c>
      <c r="H100" t="s">
        <v>203</v>
      </c>
      <c r="I100" t="s">
        <v>26</v>
      </c>
      <c r="J100">
        <v>2012</v>
      </c>
      <c r="K100" t="s">
        <v>20</v>
      </c>
      <c r="L100" t="s">
        <v>27</v>
      </c>
      <c r="M100" t="s">
        <v>71</v>
      </c>
      <c r="N100" t="s">
        <v>204</v>
      </c>
      <c r="O10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1F2D-81BB-4379-8864-809AA9104523}">
  <dimension ref="A1:J100"/>
  <sheetViews>
    <sheetView workbookViewId="0">
      <selection sqref="A1:J100"/>
    </sheetView>
  </sheetViews>
  <sheetFormatPr baseColWidth="10" defaultRowHeight="14.4" x14ac:dyDescent="0.3"/>
  <sheetData>
    <row r="1" spans="1:10" x14ac:dyDescent="0.3">
      <c r="A1" t="s">
        <v>9</v>
      </c>
      <c r="B1" t="s">
        <v>205</v>
      </c>
      <c r="C1" t="s">
        <v>206</v>
      </c>
      <c r="D1" t="s">
        <v>13</v>
      </c>
      <c r="E1" t="s">
        <v>207</v>
      </c>
      <c r="F1" t="s">
        <v>208</v>
      </c>
      <c r="G1" t="s">
        <v>7</v>
      </c>
      <c r="H1" t="s">
        <v>6</v>
      </c>
      <c r="I1" t="s">
        <v>209</v>
      </c>
      <c r="J1" t="s">
        <v>210</v>
      </c>
    </row>
    <row r="2" spans="1:10" x14ac:dyDescent="0.3">
      <c r="A2">
        <v>1912</v>
      </c>
      <c r="B2" t="s">
        <v>20</v>
      </c>
      <c r="C2" t="s">
        <v>211</v>
      </c>
      <c r="D2" t="s">
        <v>212</v>
      </c>
      <c r="E2" t="s">
        <v>213</v>
      </c>
      <c r="F2">
        <v>1</v>
      </c>
      <c r="G2" t="s">
        <v>203</v>
      </c>
      <c r="I2">
        <v>17</v>
      </c>
      <c r="J2" t="s">
        <v>214</v>
      </c>
    </row>
    <row r="3" spans="1:10" x14ac:dyDescent="0.3">
      <c r="A3">
        <v>1912</v>
      </c>
      <c r="B3" t="s">
        <v>20</v>
      </c>
      <c r="C3" t="s">
        <v>211</v>
      </c>
      <c r="D3" t="s">
        <v>215</v>
      </c>
      <c r="E3" t="s">
        <v>213</v>
      </c>
      <c r="F3">
        <v>1</v>
      </c>
      <c r="G3" t="s">
        <v>203</v>
      </c>
      <c r="H3" t="s">
        <v>216</v>
      </c>
      <c r="J3" t="s">
        <v>217</v>
      </c>
    </row>
    <row r="4" spans="1:10" x14ac:dyDescent="0.3">
      <c r="A4">
        <v>1920</v>
      </c>
      <c r="B4" t="s">
        <v>20</v>
      </c>
      <c r="C4" t="s">
        <v>211</v>
      </c>
      <c r="D4" t="s">
        <v>212</v>
      </c>
      <c r="E4" t="s">
        <v>213</v>
      </c>
      <c r="F4">
        <v>1</v>
      </c>
      <c r="G4" t="s">
        <v>203</v>
      </c>
      <c r="I4">
        <v>32</v>
      </c>
      <c r="J4" t="s">
        <v>214</v>
      </c>
    </row>
    <row r="5" spans="1:10" x14ac:dyDescent="0.3">
      <c r="A5">
        <v>1920</v>
      </c>
      <c r="B5" t="s">
        <v>20</v>
      </c>
      <c r="C5" t="s">
        <v>211</v>
      </c>
      <c r="D5" t="s">
        <v>218</v>
      </c>
      <c r="E5" t="s">
        <v>213</v>
      </c>
      <c r="F5">
        <v>1</v>
      </c>
      <c r="G5" t="s">
        <v>203</v>
      </c>
      <c r="H5" t="s">
        <v>219</v>
      </c>
      <c r="I5">
        <v>8</v>
      </c>
      <c r="J5" t="s">
        <v>214</v>
      </c>
    </row>
    <row r="6" spans="1:10" x14ac:dyDescent="0.3">
      <c r="A6">
        <v>1920</v>
      </c>
      <c r="B6" t="s">
        <v>20</v>
      </c>
      <c r="C6" t="s">
        <v>211</v>
      </c>
      <c r="D6" t="s">
        <v>215</v>
      </c>
      <c r="E6" t="s">
        <v>213</v>
      </c>
      <c r="F6">
        <v>1</v>
      </c>
      <c r="G6" t="s">
        <v>203</v>
      </c>
      <c r="H6" t="s">
        <v>220</v>
      </c>
      <c r="I6">
        <v>4</v>
      </c>
      <c r="J6" t="s">
        <v>217</v>
      </c>
    </row>
    <row r="7" spans="1:10" x14ac:dyDescent="0.3">
      <c r="A7">
        <v>1996</v>
      </c>
      <c r="B7" t="s">
        <v>20</v>
      </c>
      <c r="C7" t="s">
        <v>211</v>
      </c>
      <c r="D7" t="s">
        <v>212</v>
      </c>
      <c r="E7" t="s">
        <v>221</v>
      </c>
      <c r="F7">
        <v>2</v>
      </c>
      <c r="G7" t="s">
        <v>203</v>
      </c>
      <c r="I7">
        <v>17</v>
      </c>
      <c r="J7" t="s">
        <v>214</v>
      </c>
    </row>
    <row r="8" spans="1:10" x14ac:dyDescent="0.3">
      <c r="A8">
        <v>1996</v>
      </c>
      <c r="B8" t="s">
        <v>20</v>
      </c>
      <c r="C8" t="s">
        <v>211</v>
      </c>
      <c r="D8" t="s">
        <v>215</v>
      </c>
      <c r="E8" t="s">
        <v>221</v>
      </c>
      <c r="F8">
        <v>2</v>
      </c>
      <c r="G8" t="s">
        <v>203</v>
      </c>
      <c r="H8" t="s">
        <v>222</v>
      </c>
      <c r="I8">
        <v>17</v>
      </c>
      <c r="J8" t="s">
        <v>214</v>
      </c>
    </row>
    <row r="9" spans="1:10" x14ac:dyDescent="0.3">
      <c r="A9">
        <v>1924</v>
      </c>
      <c r="B9" t="s">
        <v>20</v>
      </c>
      <c r="C9" t="s">
        <v>211</v>
      </c>
      <c r="D9" t="s">
        <v>212</v>
      </c>
      <c r="E9" t="s">
        <v>223</v>
      </c>
      <c r="F9">
        <v>3</v>
      </c>
      <c r="G9" t="s">
        <v>203</v>
      </c>
      <c r="I9">
        <v>4</v>
      </c>
      <c r="J9" t="s">
        <v>217</v>
      </c>
    </row>
    <row r="10" spans="1:10" x14ac:dyDescent="0.3">
      <c r="A10">
        <v>1924</v>
      </c>
      <c r="B10" t="s">
        <v>20</v>
      </c>
      <c r="C10" t="s">
        <v>211</v>
      </c>
      <c r="D10" t="s">
        <v>218</v>
      </c>
      <c r="E10" t="s">
        <v>223</v>
      </c>
      <c r="F10">
        <v>3</v>
      </c>
      <c r="G10" t="s">
        <v>203</v>
      </c>
      <c r="H10" t="s">
        <v>224</v>
      </c>
      <c r="I10">
        <v>15</v>
      </c>
      <c r="J10" t="s">
        <v>214</v>
      </c>
    </row>
    <row r="11" spans="1:10" x14ac:dyDescent="0.3">
      <c r="A11">
        <v>1924</v>
      </c>
      <c r="B11" t="s">
        <v>20</v>
      </c>
      <c r="C11" t="s">
        <v>211</v>
      </c>
      <c r="D11" t="s">
        <v>215</v>
      </c>
      <c r="E11" t="s">
        <v>223</v>
      </c>
      <c r="F11">
        <v>3</v>
      </c>
      <c r="G11" t="s">
        <v>203</v>
      </c>
      <c r="H11" t="s">
        <v>225</v>
      </c>
      <c r="I11">
        <v>3</v>
      </c>
      <c r="J11" t="s">
        <v>217</v>
      </c>
    </row>
    <row r="12" spans="1:10" x14ac:dyDescent="0.3">
      <c r="A12">
        <v>1920</v>
      </c>
      <c r="B12" t="s">
        <v>20</v>
      </c>
      <c r="C12" t="s">
        <v>211</v>
      </c>
      <c r="D12" t="s">
        <v>212</v>
      </c>
      <c r="E12" t="s">
        <v>220</v>
      </c>
      <c r="F12">
        <v>4</v>
      </c>
      <c r="G12" t="s">
        <v>203</v>
      </c>
      <c r="I12">
        <v>9</v>
      </c>
      <c r="J12" t="s">
        <v>214</v>
      </c>
    </row>
    <row r="13" spans="1:10" x14ac:dyDescent="0.3">
      <c r="A13">
        <v>1920</v>
      </c>
      <c r="B13" t="s">
        <v>20</v>
      </c>
      <c r="C13" t="s">
        <v>211</v>
      </c>
      <c r="D13" t="s">
        <v>215</v>
      </c>
      <c r="E13" t="s">
        <v>220</v>
      </c>
      <c r="F13">
        <v>4</v>
      </c>
      <c r="G13" t="s">
        <v>203</v>
      </c>
      <c r="H13" t="s">
        <v>213</v>
      </c>
      <c r="I13">
        <v>4</v>
      </c>
      <c r="J13" t="s">
        <v>217</v>
      </c>
    </row>
    <row r="14" spans="1:10" x14ac:dyDescent="0.3">
      <c r="A14">
        <v>1924</v>
      </c>
      <c r="B14" t="s">
        <v>20</v>
      </c>
      <c r="C14" t="s">
        <v>211</v>
      </c>
      <c r="D14" t="s">
        <v>215</v>
      </c>
      <c r="E14" t="s">
        <v>220</v>
      </c>
      <c r="F14">
        <v>4</v>
      </c>
      <c r="G14" t="s">
        <v>203</v>
      </c>
      <c r="H14" t="s">
        <v>226</v>
      </c>
      <c r="I14">
        <v>2</v>
      </c>
      <c r="J14" t="s">
        <v>217</v>
      </c>
    </row>
    <row r="15" spans="1:10" x14ac:dyDescent="0.3">
      <c r="A15">
        <v>1912</v>
      </c>
      <c r="B15" t="s">
        <v>20</v>
      </c>
      <c r="C15" t="s">
        <v>211</v>
      </c>
      <c r="D15" t="s">
        <v>212</v>
      </c>
      <c r="E15" t="s">
        <v>227</v>
      </c>
      <c r="F15">
        <v>5</v>
      </c>
      <c r="G15" t="s">
        <v>203</v>
      </c>
      <c r="I15">
        <v>17</v>
      </c>
      <c r="J15" t="s">
        <v>214</v>
      </c>
    </row>
    <row r="16" spans="1:10" x14ac:dyDescent="0.3">
      <c r="A16">
        <v>1912</v>
      </c>
      <c r="B16" t="s">
        <v>20</v>
      </c>
      <c r="C16" t="s">
        <v>211</v>
      </c>
      <c r="D16" t="s">
        <v>218</v>
      </c>
      <c r="E16" t="s">
        <v>227</v>
      </c>
      <c r="F16">
        <v>5</v>
      </c>
      <c r="G16" t="s">
        <v>203</v>
      </c>
      <c r="H16" t="s">
        <v>228</v>
      </c>
      <c r="I16">
        <v>3</v>
      </c>
      <c r="J16" t="s">
        <v>217</v>
      </c>
    </row>
    <row r="17" spans="1:10" x14ac:dyDescent="0.3">
      <c r="A17">
        <v>1912</v>
      </c>
      <c r="B17" t="s">
        <v>20</v>
      </c>
      <c r="C17" t="s">
        <v>211</v>
      </c>
      <c r="D17" t="s">
        <v>215</v>
      </c>
      <c r="E17" t="s">
        <v>227</v>
      </c>
      <c r="F17">
        <v>5</v>
      </c>
      <c r="G17" t="s">
        <v>203</v>
      </c>
      <c r="H17" t="s">
        <v>229</v>
      </c>
      <c r="I17">
        <v>3</v>
      </c>
      <c r="J17" t="s">
        <v>217</v>
      </c>
    </row>
    <row r="18" spans="1:10" x14ac:dyDescent="0.3">
      <c r="A18">
        <v>1992</v>
      </c>
      <c r="B18" t="s">
        <v>20</v>
      </c>
      <c r="C18" t="s">
        <v>230</v>
      </c>
      <c r="D18" t="s">
        <v>212</v>
      </c>
      <c r="E18" t="s">
        <v>231</v>
      </c>
      <c r="F18">
        <v>6</v>
      </c>
      <c r="G18" t="s">
        <v>203</v>
      </c>
      <c r="I18">
        <v>33</v>
      </c>
      <c r="J18" t="s">
        <v>214</v>
      </c>
    </row>
    <row r="19" spans="1:10" x14ac:dyDescent="0.3">
      <c r="A19">
        <v>1992</v>
      </c>
      <c r="B19" t="s">
        <v>20</v>
      </c>
      <c r="C19" t="s">
        <v>230</v>
      </c>
      <c r="D19" t="s">
        <v>215</v>
      </c>
      <c r="E19" t="s">
        <v>231</v>
      </c>
      <c r="F19">
        <v>6</v>
      </c>
      <c r="G19" t="s">
        <v>203</v>
      </c>
      <c r="H19" t="s">
        <v>232</v>
      </c>
      <c r="I19">
        <v>17</v>
      </c>
      <c r="J19" t="s">
        <v>214</v>
      </c>
    </row>
    <row r="20" spans="1:10" x14ac:dyDescent="0.3">
      <c r="A20">
        <v>1992</v>
      </c>
      <c r="B20" t="s">
        <v>20</v>
      </c>
      <c r="C20" t="s">
        <v>230</v>
      </c>
      <c r="D20" t="s">
        <v>215</v>
      </c>
      <c r="E20" t="s">
        <v>232</v>
      </c>
      <c r="F20">
        <v>7</v>
      </c>
      <c r="G20" t="s">
        <v>203</v>
      </c>
      <c r="H20" t="s">
        <v>231</v>
      </c>
      <c r="I20">
        <v>17</v>
      </c>
      <c r="J20" t="s">
        <v>214</v>
      </c>
    </row>
    <row r="21" spans="1:10" x14ac:dyDescent="0.3">
      <c r="A21">
        <v>1996</v>
      </c>
      <c r="B21" t="s">
        <v>20</v>
      </c>
      <c r="C21" t="s">
        <v>230</v>
      </c>
      <c r="D21" t="s">
        <v>212</v>
      </c>
      <c r="E21" t="s">
        <v>232</v>
      </c>
      <c r="F21">
        <v>7</v>
      </c>
      <c r="G21" t="s">
        <v>203</v>
      </c>
      <c r="I21">
        <v>9</v>
      </c>
      <c r="J21" t="s">
        <v>214</v>
      </c>
    </row>
    <row r="22" spans="1:10" x14ac:dyDescent="0.3">
      <c r="A22">
        <v>1996</v>
      </c>
      <c r="B22" t="s">
        <v>20</v>
      </c>
      <c r="C22" t="s">
        <v>230</v>
      </c>
      <c r="D22" t="s">
        <v>215</v>
      </c>
      <c r="E22" t="s">
        <v>232</v>
      </c>
      <c r="F22">
        <v>7</v>
      </c>
      <c r="G22" t="s">
        <v>203</v>
      </c>
      <c r="H22" t="s">
        <v>233</v>
      </c>
      <c r="I22">
        <v>9</v>
      </c>
      <c r="J22" t="s">
        <v>214</v>
      </c>
    </row>
    <row r="23" spans="1:10" x14ac:dyDescent="0.3">
      <c r="A23">
        <v>2000</v>
      </c>
      <c r="B23" t="s">
        <v>20</v>
      </c>
      <c r="C23" t="s">
        <v>230</v>
      </c>
      <c r="D23" t="s">
        <v>215</v>
      </c>
      <c r="E23" t="s">
        <v>232</v>
      </c>
      <c r="F23">
        <v>7</v>
      </c>
      <c r="G23" t="s">
        <v>203</v>
      </c>
      <c r="H23" t="s">
        <v>234</v>
      </c>
      <c r="I23">
        <v>3</v>
      </c>
      <c r="J23" t="s">
        <v>217</v>
      </c>
    </row>
    <row r="24" spans="1:10" x14ac:dyDescent="0.3">
      <c r="A24">
        <v>2004</v>
      </c>
      <c r="B24" t="s">
        <v>20</v>
      </c>
      <c r="C24" t="s">
        <v>230</v>
      </c>
      <c r="D24" t="s">
        <v>212</v>
      </c>
      <c r="E24" t="s">
        <v>232</v>
      </c>
      <c r="F24">
        <v>7</v>
      </c>
      <c r="G24" t="s">
        <v>203</v>
      </c>
      <c r="I24">
        <v>17</v>
      </c>
      <c r="J24" t="s">
        <v>214</v>
      </c>
    </row>
    <row r="25" spans="1:10" x14ac:dyDescent="0.3">
      <c r="A25">
        <v>2008</v>
      </c>
      <c r="B25" t="s">
        <v>20</v>
      </c>
      <c r="C25" t="s">
        <v>230</v>
      </c>
      <c r="D25" t="s">
        <v>212</v>
      </c>
      <c r="E25" t="s">
        <v>232</v>
      </c>
      <c r="F25">
        <v>7</v>
      </c>
      <c r="G25" t="s">
        <v>203</v>
      </c>
      <c r="I25">
        <v>49</v>
      </c>
      <c r="J25" t="s">
        <v>214</v>
      </c>
    </row>
    <row r="26" spans="1:10" x14ac:dyDescent="0.3">
      <c r="A26">
        <v>1924</v>
      </c>
      <c r="B26" t="s">
        <v>20</v>
      </c>
      <c r="C26" t="s">
        <v>211</v>
      </c>
      <c r="D26" t="s">
        <v>212</v>
      </c>
      <c r="E26" t="s">
        <v>226</v>
      </c>
      <c r="F26">
        <v>8</v>
      </c>
      <c r="G26" t="s">
        <v>203</v>
      </c>
      <c r="I26">
        <v>2</v>
      </c>
      <c r="J26" t="s">
        <v>217</v>
      </c>
    </row>
    <row r="27" spans="1:10" x14ac:dyDescent="0.3">
      <c r="A27">
        <v>1924</v>
      </c>
      <c r="B27" t="s">
        <v>20</v>
      </c>
      <c r="C27" t="s">
        <v>211</v>
      </c>
      <c r="D27" t="s">
        <v>218</v>
      </c>
      <c r="E27" t="s">
        <v>226</v>
      </c>
      <c r="F27">
        <v>8</v>
      </c>
      <c r="G27" t="s">
        <v>203</v>
      </c>
      <c r="H27" t="s">
        <v>235</v>
      </c>
      <c r="J27" t="s">
        <v>217</v>
      </c>
    </row>
    <row r="28" spans="1:10" x14ac:dyDescent="0.3">
      <c r="A28">
        <v>1924</v>
      </c>
      <c r="B28" t="s">
        <v>20</v>
      </c>
      <c r="C28" t="s">
        <v>211</v>
      </c>
      <c r="D28" t="s">
        <v>215</v>
      </c>
      <c r="E28" t="s">
        <v>226</v>
      </c>
      <c r="F28">
        <v>8</v>
      </c>
      <c r="G28" t="s">
        <v>203</v>
      </c>
      <c r="H28" t="s">
        <v>220</v>
      </c>
      <c r="I28">
        <v>2</v>
      </c>
      <c r="J28" t="s">
        <v>217</v>
      </c>
    </row>
    <row r="29" spans="1:10" x14ac:dyDescent="0.3">
      <c r="A29">
        <v>1924</v>
      </c>
      <c r="B29" t="s">
        <v>20</v>
      </c>
      <c r="C29" t="s">
        <v>211</v>
      </c>
      <c r="D29" t="s">
        <v>212</v>
      </c>
      <c r="E29" t="s">
        <v>236</v>
      </c>
      <c r="F29">
        <v>9</v>
      </c>
      <c r="G29" t="s">
        <v>203</v>
      </c>
      <c r="I29">
        <v>17</v>
      </c>
      <c r="J29" t="s">
        <v>214</v>
      </c>
    </row>
    <row r="30" spans="1:10" x14ac:dyDescent="0.3">
      <c r="A30">
        <v>1900</v>
      </c>
      <c r="B30" t="s">
        <v>20</v>
      </c>
      <c r="C30" t="s">
        <v>211</v>
      </c>
      <c r="D30" t="s">
        <v>215</v>
      </c>
      <c r="E30" t="s">
        <v>237</v>
      </c>
      <c r="F30">
        <v>10</v>
      </c>
      <c r="G30" t="s">
        <v>203</v>
      </c>
      <c r="H30" t="s">
        <v>238</v>
      </c>
      <c r="I30">
        <v>3</v>
      </c>
      <c r="J30" t="s">
        <v>214</v>
      </c>
    </row>
    <row r="31" spans="1:10" x14ac:dyDescent="0.3">
      <c r="A31">
        <v>1900</v>
      </c>
      <c r="B31" t="s">
        <v>20</v>
      </c>
      <c r="C31" t="s">
        <v>211</v>
      </c>
      <c r="D31" t="s">
        <v>239</v>
      </c>
      <c r="E31" t="s">
        <v>237</v>
      </c>
      <c r="F31">
        <v>10</v>
      </c>
      <c r="G31" t="s">
        <v>203</v>
      </c>
      <c r="I31">
        <v>5</v>
      </c>
      <c r="J31" t="s">
        <v>214</v>
      </c>
    </row>
    <row r="32" spans="1:10" x14ac:dyDescent="0.3">
      <c r="A32">
        <v>1900</v>
      </c>
      <c r="B32" t="s">
        <v>20</v>
      </c>
      <c r="C32" t="s">
        <v>211</v>
      </c>
      <c r="D32" t="s">
        <v>240</v>
      </c>
      <c r="E32" t="s">
        <v>237</v>
      </c>
      <c r="F32">
        <v>10</v>
      </c>
      <c r="G32" t="s">
        <v>203</v>
      </c>
      <c r="H32" t="s">
        <v>241</v>
      </c>
      <c r="I32">
        <v>3</v>
      </c>
      <c r="J32" t="s">
        <v>214</v>
      </c>
    </row>
    <row r="33" spans="1:10" x14ac:dyDescent="0.3">
      <c r="A33">
        <v>1900</v>
      </c>
      <c r="B33" t="s">
        <v>20</v>
      </c>
      <c r="C33" t="s">
        <v>242</v>
      </c>
      <c r="D33" t="s">
        <v>243</v>
      </c>
      <c r="E33" t="s">
        <v>244</v>
      </c>
      <c r="F33">
        <v>11</v>
      </c>
      <c r="G33" t="s">
        <v>203</v>
      </c>
      <c r="I33">
        <v>1</v>
      </c>
      <c r="J33" t="s">
        <v>217</v>
      </c>
    </row>
    <row r="34" spans="1:10" x14ac:dyDescent="0.3">
      <c r="A34">
        <v>1900</v>
      </c>
      <c r="B34" t="s">
        <v>20</v>
      </c>
      <c r="C34" t="s">
        <v>242</v>
      </c>
      <c r="D34" t="s">
        <v>211</v>
      </c>
      <c r="E34" t="s">
        <v>244</v>
      </c>
      <c r="F34">
        <v>11</v>
      </c>
      <c r="G34" t="s">
        <v>203</v>
      </c>
      <c r="H34" t="s">
        <v>203</v>
      </c>
      <c r="J34" t="s">
        <v>214</v>
      </c>
    </row>
    <row r="35" spans="1:10" x14ac:dyDescent="0.3">
      <c r="A35">
        <v>1900</v>
      </c>
      <c r="B35" t="s">
        <v>20</v>
      </c>
      <c r="C35" t="s">
        <v>242</v>
      </c>
      <c r="D35" t="s">
        <v>215</v>
      </c>
      <c r="E35" t="s">
        <v>244</v>
      </c>
      <c r="F35">
        <v>11</v>
      </c>
      <c r="G35" t="s">
        <v>203</v>
      </c>
      <c r="H35" t="s">
        <v>245</v>
      </c>
      <c r="I35">
        <v>5</v>
      </c>
      <c r="J35" t="s">
        <v>214</v>
      </c>
    </row>
    <row r="36" spans="1:10" x14ac:dyDescent="0.3">
      <c r="A36">
        <v>1900</v>
      </c>
      <c r="B36" t="s">
        <v>20</v>
      </c>
      <c r="C36" t="s">
        <v>242</v>
      </c>
      <c r="D36" t="s">
        <v>246</v>
      </c>
      <c r="E36" t="s">
        <v>244</v>
      </c>
      <c r="F36">
        <v>11</v>
      </c>
      <c r="G36" t="s">
        <v>203</v>
      </c>
      <c r="H36" t="s">
        <v>247</v>
      </c>
      <c r="I36">
        <v>5</v>
      </c>
      <c r="J36" t="s">
        <v>214</v>
      </c>
    </row>
    <row r="37" spans="1:10" x14ac:dyDescent="0.3">
      <c r="A37">
        <v>1900</v>
      </c>
      <c r="B37" t="s">
        <v>20</v>
      </c>
      <c r="C37" t="s">
        <v>242</v>
      </c>
      <c r="D37" t="s">
        <v>239</v>
      </c>
      <c r="E37" t="s">
        <v>244</v>
      </c>
      <c r="F37">
        <v>11</v>
      </c>
      <c r="G37" t="s">
        <v>203</v>
      </c>
      <c r="I37">
        <v>17</v>
      </c>
      <c r="J37" t="s">
        <v>214</v>
      </c>
    </row>
    <row r="38" spans="1:10" x14ac:dyDescent="0.3">
      <c r="A38">
        <v>1900</v>
      </c>
      <c r="B38" t="s">
        <v>20</v>
      </c>
      <c r="C38" t="s">
        <v>242</v>
      </c>
      <c r="D38" t="s">
        <v>240</v>
      </c>
      <c r="E38" t="s">
        <v>244</v>
      </c>
      <c r="F38">
        <v>11</v>
      </c>
      <c r="G38" t="s">
        <v>203</v>
      </c>
      <c r="H38" t="s">
        <v>245</v>
      </c>
      <c r="I38">
        <v>5</v>
      </c>
      <c r="J38" t="s">
        <v>214</v>
      </c>
    </row>
    <row r="39" spans="1:10" x14ac:dyDescent="0.3">
      <c r="A39">
        <v>1900</v>
      </c>
      <c r="B39" t="s">
        <v>20</v>
      </c>
      <c r="C39" t="s">
        <v>211</v>
      </c>
      <c r="D39" t="s">
        <v>212</v>
      </c>
      <c r="E39" t="s">
        <v>248</v>
      </c>
      <c r="F39">
        <v>12</v>
      </c>
      <c r="G39" t="s">
        <v>203</v>
      </c>
      <c r="J39" t="s">
        <v>217</v>
      </c>
    </row>
    <row r="40" spans="1:10" x14ac:dyDescent="0.3">
      <c r="A40">
        <v>1900</v>
      </c>
      <c r="B40" t="s">
        <v>20</v>
      </c>
      <c r="C40" t="s">
        <v>211</v>
      </c>
      <c r="D40" t="s">
        <v>215</v>
      </c>
      <c r="E40" t="s">
        <v>248</v>
      </c>
      <c r="F40">
        <v>12</v>
      </c>
      <c r="G40" t="s">
        <v>203</v>
      </c>
      <c r="H40" t="s">
        <v>249</v>
      </c>
      <c r="I40">
        <v>2</v>
      </c>
      <c r="J40" t="s">
        <v>217</v>
      </c>
    </row>
    <row r="41" spans="1:10" x14ac:dyDescent="0.3">
      <c r="A41">
        <v>1900</v>
      </c>
      <c r="B41" t="s">
        <v>20</v>
      </c>
      <c r="C41" t="s">
        <v>211</v>
      </c>
      <c r="D41" t="s">
        <v>240</v>
      </c>
      <c r="E41" t="s">
        <v>248</v>
      </c>
      <c r="F41">
        <v>12</v>
      </c>
      <c r="G41" t="s">
        <v>203</v>
      </c>
      <c r="H41" t="s">
        <v>249</v>
      </c>
      <c r="I41">
        <v>1</v>
      </c>
      <c r="J41" t="s">
        <v>217</v>
      </c>
    </row>
    <row r="42" spans="1:10" x14ac:dyDescent="0.3">
      <c r="C42" t="s">
        <v>211</v>
      </c>
      <c r="D42" t="s">
        <v>250</v>
      </c>
      <c r="E42" t="s">
        <v>248</v>
      </c>
      <c r="F42">
        <v>12</v>
      </c>
      <c r="G42" t="s">
        <v>203</v>
      </c>
      <c r="I42">
        <v>1</v>
      </c>
      <c r="J42" t="s">
        <v>217</v>
      </c>
    </row>
    <row r="43" spans="1:10" x14ac:dyDescent="0.3">
      <c r="C43" t="s">
        <v>211</v>
      </c>
      <c r="D43" t="s">
        <v>251</v>
      </c>
      <c r="E43" t="s">
        <v>248</v>
      </c>
      <c r="F43">
        <v>12</v>
      </c>
      <c r="G43" t="s">
        <v>203</v>
      </c>
      <c r="H43" t="s">
        <v>252</v>
      </c>
      <c r="I43">
        <v>1</v>
      </c>
      <c r="J43" t="s">
        <v>217</v>
      </c>
    </row>
    <row r="44" spans="1:10" x14ac:dyDescent="0.3">
      <c r="C44" t="s">
        <v>211</v>
      </c>
      <c r="D44" t="s">
        <v>253</v>
      </c>
      <c r="E44" t="s">
        <v>248</v>
      </c>
      <c r="F44">
        <v>12</v>
      </c>
      <c r="G44" t="s">
        <v>203</v>
      </c>
      <c r="H44" t="s">
        <v>254</v>
      </c>
      <c r="I44">
        <v>1</v>
      </c>
      <c r="J44" t="s">
        <v>217</v>
      </c>
    </row>
    <row r="45" spans="1:10" x14ac:dyDescent="0.3">
      <c r="A45">
        <v>1908</v>
      </c>
      <c r="B45" t="s">
        <v>20</v>
      </c>
      <c r="C45" t="s">
        <v>211</v>
      </c>
      <c r="D45" t="s">
        <v>212</v>
      </c>
      <c r="E45" t="s">
        <v>248</v>
      </c>
      <c r="F45">
        <v>12</v>
      </c>
      <c r="G45" t="s">
        <v>203</v>
      </c>
      <c r="J45" t="s">
        <v>217</v>
      </c>
    </row>
    <row r="46" spans="1:10" x14ac:dyDescent="0.3">
      <c r="A46">
        <v>1908</v>
      </c>
      <c r="B46" t="s">
        <v>20</v>
      </c>
      <c r="C46" t="s">
        <v>211</v>
      </c>
      <c r="D46" t="s">
        <v>215</v>
      </c>
      <c r="E46" t="s">
        <v>248</v>
      </c>
      <c r="F46">
        <v>12</v>
      </c>
      <c r="G46" t="s">
        <v>203</v>
      </c>
      <c r="H46" t="s">
        <v>254</v>
      </c>
      <c r="J46" t="s">
        <v>217</v>
      </c>
    </row>
    <row r="47" spans="1:10" x14ac:dyDescent="0.3">
      <c r="A47">
        <v>1912</v>
      </c>
      <c r="B47" t="s">
        <v>20</v>
      </c>
      <c r="C47" t="s">
        <v>211</v>
      </c>
      <c r="D47" t="s">
        <v>255</v>
      </c>
      <c r="E47" t="s">
        <v>248</v>
      </c>
      <c r="F47">
        <v>12</v>
      </c>
      <c r="G47" t="s">
        <v>203</v>
      </c>
      <c r="H47" t="s">
        <v>252</v>
      </c>
      <c r="J47" t="s">
        <v>217</v>
      </c>
    </row>
    <row r="48" spans="1:10" x14ac:dyDescent="0.3">
      <c r="A48">
        <v>1912</v>
      </c>
      <c r="B48" t="s">
        <v>20</v>
      </c>
      <c r="C48" t="s">
        <v>211</v>
      </c>
      <c r="D48" t="s">
        <v>256</v>
      </c>
      <c r="E48" t="s">
        <v>248</v>
      </c>
      <c r="F48">
        <v>12</v>
      </c>
      <c r="G48" t="s">
        <v>203</v>
      </c>
      <c r="J48" t="s">
        <v>217</v>
      </c>
    </row>
    <row r="49" spans="1:10" x14ac:dyDescent="0.3">
      <c r="A49">
        <v>1920</v>
      </c>
      <c r="B49" t="s">
        <v>20</v>
      </c>
      <c r="C49" t="s">
        <v>211</v>
      </c>
      <c r="D49" t="s">
        <v>212</v>
      </c>
      <c r="E49" t="s">
        <v>248</v>
      </c>
      <c r="F49">
        <v>12</v>
      </c>
      <c r="G49" t="s">
        <v>203</v>
      </c>
      <c r="I49">
        <v>17</v>
      </c>
      <c r="J49" t="s">
        <v>214</v>
      </c>
    </row>
    <row r="50" spans="1:10" x14ac:dyDescent="0.3">
      <c r="A50">
        <v>1920</v>
      </c>
      <c r="B50" t="s">
        <v>20</v>
      </c>
      <c r="C50" t="s">
        <v>211</v>
      </c>
      <c r="D50" t="s">
        <v>218</v>
      </c>
      <c r="E50" t="s">
        <v>248</v>
      </c>
      <c r="F50">
        <v>12</v>
      </c>
      <c r="G50" t="s">
        <v>203</v>
      </c>
      <c r="H50" t="s">
        <v>235</v>
      </c>
      <c r="I50">
        <v>1</v>
      </c>
      <c r="J50" t="s">
        <v>217</v>
      </c>
    </row>
    <row r="51" spans="1:10" x14ac:dyDescent="0.3">
      <c r="A51">
        <v>1920</v>
      </c>
      <c r="B51" t="s">
        <v>20</v>
      </c>
      <c r="C51" t="s">
        <v>211</v>
      </c>
      <c r="D51" t="s">
        <v>215</v>
      </c>
      <c r="E51" t="s">
        <v>248</v>
      </c>
      <c r="F51">
        <v>12</v>
      </c>
      <c r="G51" t="s">
        <v>203</v>
      </c>
      <c r="H51" t="s">
        <v>257</v>
      </c>
      <c r="I51">
        <v>3</v>
      </c>
      <c r="J51" t="s">
        <v>217</v>
      </c>
    </row>
    <row r="52" spans="1:10" x14ac:dyDescent="0.3">
      <c r="A52">
        <v>1896</v>
      </c>
      <c r="B52" t="s">
        <v>20</v>
      </c>
      <c r="C52" t="s">
        <v>211</v>
      </c>
      <c r="D52" t="s">
        <v>212</v>
      </c>
      <c r="E52" t="s">
        <v>258</v>
      </c>
      <c r="F52">
        <v>13</v>
      </c>
      <c r="G52" t="s">
        <v>203</v>
      </c>
      <c r="I52">
        <v>8</v>
      </c>
      <c r="J52" t="s">
        <v>214</v>
      </c>
    </row>
    <row r="53" spans="1:10" x14ac:dyDescent="0.3">
      <c r="A53">
        <v>1896</v>
      </c>
      <c r="B53" t="s">
        <v>20</v>
      </c>
      <c r="C53" t="s">
        <v>211</v>
      </c>
      <c r="D53" t="s">
        <v>215</v>
      </c>
      <c r="E53" t="s">
        <v>258</v>
      </c>
      <c r="F53">
        <v>13</v>
      </c>
      <c r="G53" t="s">
        <v>203</v>
      </c>
      <c r="H53" t="s">
        <v>259</v>
      </c>
      <c r="J53" t="s">
        <v>217</v>
      </c>
    </row>
    <row r="54" spans="1:10" x14ac:dyDescent="0.3">
      <c r="A54">
        <v>1900</v>
      </c>
      <c r="B54" t="s">
        <v>20</v>
      </c>
      <c r="C54" t="s">
        <v>211</v>
      </c>
      <c r="D54" t="s">
        <v>212</v>
      </c>
      <c r="E54" t="s">
        <v>260</v>
      </c>
      <c r="F54">
        <v>14</v>
      </c>
      <c r="G54" t="s">
        <v>203</v>
      </c>
      <c r="I54">
        <v>8</v>
      </c>
      <c r="J54" t="s">
        <v>214</v>
      </c>
    </row>
    <row r="55" spans="1:10" x14ac:dyDescent="0.3">
      <c r="A55">
        <v>1900</v>
      </c>
      <c r="B55" t="s">
        <v>20</v>
      </c>
      <c r="C55" t="s">
        <v>211</v>
      </c>
      <c r="D55" t="s">
        <v>215</v>
      </c>
      <c r="E55" t="s">
        <v>260</v>
      </c>
      <c r="F55">
        <v>14</v>
      </c>
      <c r="G55" t="s">
        <v>203</v>
      </c>
      <c r="H55" t="s">
        <v>261</v>
      </c>
      <c r="I55">
        <v>5</v>
      </c>
      <c r="J55" t="s">
        <v>214</v>
      </c>
    </row>
    <row r="56" spans="1:10" x14ac:dyDescent="0.3">
      <c r="A56">
        <v>1900</v>
      </c>
      <c r="B56" t="s">
        <v>20</v>
      </c>
      <c r="C56" t="s">
        <v>211</v>
      </c>
      <c r="D56" t="s">
        <v>239</v>
      </c>
      <c r="E56" t="s">
        <v>260</v>
      </c>
      <c r="F56">
        <v>14</v>
      </c>
      <c r="G56" t="s">
        <v>203</v>
      </c>
      <c r="I56">
        <v>9</v>
      </c>
      <c r="J56" t="s">
        <v>214</v>
      </c>
    </row>
    <row r="57" spans="1:10" x14ac:dyDescent="0.3">
      <c r="A57">
        <v>1900</v>
      </c>
      <c r="B57" t="s">
        <v>20</v>
      </c>
      <c r="C57" t="s">
        <v>211</v>
      </c>
      <c r="D57" t="s">
        <v>240</v>
      </c>
      <c r="E57" t="s">
        <v>260</v>
      </c>
      <c r="F57">
        <v>14</v>
      </c>
      <c r="G57" t="s">
        <v>203</v>
      </c>
      <c r="H57" t="s">
        <v>261</v>
      </c>
      <c r="I57">
        <v>3</v>
      </c>
      <c r="J57" t="s">
        <v>214</v>
      </c>
    </row>
    <row r="58" spans="1:10" x14ac:dyDescent="0.3">
      <c r="A58">
        <v>1992</v>
      </c>
      <c r="B58" t="s">
        <v>20</v>
      </c>
      <c r="C58" t="s">
        <v>230</v>
      </c>
      <c r="D58" t="s">
        <v>215</v>
      </c>
      <c r="E58" t="s">
        <v>262</v>
      </c>
      <c r="F58">
        <v>15</v>
      </c>
      <c r="G58" t="s">
        <v>203</v>
      </c>
      <c r="H58" t="s">
        <v>234</v>
      </c>
      <c r="I58">
        <v>5</v>
      </c>
      <c r="J58" t="s">
        <v>214</v>
      </c>
    </row>
    <row r="59" spans="1:10" x14ac:dyDescent="0.3">
      <c r="A59">
        <v>1996</v>
      </c>
      <c r="B59" t="s">
        <v>20</v>
      </c>
      <c r="C59" t="s">
        <v>230</v>
      </c>
      <c r="D59" t="s">
        <v>215</v>
      </c>
      <c r="E59" t="s">
        <v>262</v>
      </c>
      <c r="F59">
        <v>15</v>
      </c>
      <c r="G59" t="s">
        <v>203</v>
      </c>
      <c r="H59" t="s">
        <v>234</v>
      </c>
      <c r="I59">
        <v>5</v>
      </c>
      <c r="J59" t="s">
        <v>214</v>
      </c>
    </row>
    <row r="60" spans="1:10" x14ac:dyDescent="0.3">
      <c r="A60">
        <v>2000</v>
      </c>
      <c r="B60" t="s">
        <v>20</v>
      </c>
      <c r="C60" t="s">
        <v>230</v>
      </c>
      <c r="D60" t="s">
        <v>212</v>
      </c>
      <c r="E60" t="s">
        <v>262</v>
      </c>
      <c r="F60">
        <v>15</v>
      </c>
      <c r="G60" t="s">
        <v>203</v>
      </c>
      <c r="I60">
        <v>9</v>
      </c>
      <c r="J60" t="s">
        <v>214</v>
      </c>
    </row>
    <row r="61" spans="1:10" x14ac:dyDescent="0.3">
      <c r="A61">
        <v>2000</v>
      </c>
      <c r="B61" t="s">
        <v>20</v>
      </c>
      <c r="C61" t="s">
        <v>230</v>
      </c>
      <c r="D61" t="s">
        <v>215</v>
      </c>
      <c r="E61" t="s">
        <v>262</v>
      </c>
      <c r="F61">
        <v>15</v>
      </c>
      <c r="G61" t="s">
        <v>203</v>
      </c>
      <c r="H61" t="s">
        <v>233</v>
      </c>
      <c r="I61">
        <v>5</v>
      </c>
      <c r="J61" t="s">
        <v>214</v>
      </c>
    </row>
    <row r="62" spans="1:10" x14ac:dyDescent="0.3">
      <c r="A62">
        <v>2008</v>
      </c>
      <c r="B62" t="s">
        <v>20</v>
      </c>
      <c r="C62" t="s">
        <v>230</v>
      </c>
      <c r="D62" t="s">
        <v>212</v>
      </c>
      <c r="E62" t="s">
        <v>262</v>
      </c>
      <c r="F62">
        <v>15</v>
      </c>
      <c r="G62" t="s">
        <v>203</v>
      </c>
      <c r="I62">
        <v>33</v>
      </c>
      <c r="J62" t="s">
        <v>214</v>
      </c>
    </row>
    <row r="63" spans="1:10" x14ac:dyDescent="0.3">
      <c r="A63">
        <v>1900</v>
      </c>
      <c r="B63" t="s">
        <v>20</v>
      </c>
      <c r="C63" t="s">
        <v>211</v>
      </c>
      <c r="D63" t="s">
        <v>215</v>
      </c>
      <c r="E63" t="s">
        <v>261</v>
      </c>
      <c r="F63">
        <v>16</v>
      </c>
      <c r="G63" t="s">
        <v>203</v>
      </c>
      <c r="H63" t="s">
        <v>260</v>
      </c>
      <c r="I63">
        <v>5</v>
      </c>
      <c r="J63" t="s">
        <v>214</v>
      </c>
    </row>
    <row r="64" spans="1:10" x14ac:dyDescent="0.3">
      <c r="A64">
        <v>1900</v>
      </c>
      <c r="B64" t="s">
        <v>20</v>
      </c>
      <c r="C64" t="s">
        <v>211</v>
      </c>
      <c r="D64" t="s">
        <v>240</v>
      </c>
      <c r="E64" t="s">
        <v>261</v>
      </c>
      <c r="F64">
        <v>16</v>
      </c>
      <c r="G64" t="s">
        <v>203</v>
      </c>
      <c r="H64" t="s">
        <v>260</v>
      </c>
      <c r="I64">
        <v>3</v>
      </c>
      <c r="J64" t="s">
        <v>214</v>
      </c>
    </row>
    <row r="65" spans="1:10" x14ac:dyDescent="0.3">
      <c r="A65">
        <v>1984</v>
      </c>
      <c r="B65" t="s">
        <v>20</v>
      </c>
      <c r="C65" t="s">
        <v>211</v>
      </c>
      <c r="D65" t="s">
        <v>263</v>
      </c>
      <c r="E65" t="s">
        <v>264</v>
      </c>
      <c r="F65">
        <v>17</v>
      </c>
      <c r="G65" t="s">
        <v>203</v>
      </c>
      <c r="I65">
        <v>5</v>
      </c>
      <c r="J65" t="s">
        <v>214</v>
      </c>
    </row>
    <row r="66" spans="1:10" x14ac:dyDescent="0.3">
      <c r="A66">
        <v>1988</v>
      </c>
      <c r="B66" t="s">
        <v>20</v>
      </c>
      <c r="C66" t="s">
        <v>211</v>
      </c>
      <c r="D66" t="s">
        <v>212</v>
      </c>
      <c r="E66" t="s">
        <v>264</v>
      </c>
      <c r="F66">
        <v>17</v>
      </c>
      <c r="G66" t="s">
        <v>203</v>
      </c>
      <c r="I66">
        <v>9</v>
      </c>
      <c r="J66" t="s">
        <v>214</v>
      </c>
    </row>
    <row r="67" spans="1:10" x14ac:dyDescent="0.3">
      <c r="A67">
        <v>1988</v>
      </c>
      <c r="B67" t="s">
        <v>20</v>
      </c>
      <c r="C67" t="s">
        <v>211</v>
      </c>
      <c r="D67" t="s">
        <v>215</v>
      </c>
      <c r="E67" t="s">
        <v>264</v>
      </c>
      <c r="F67">
        <v>17</v>
      </c>
      <c r="G67" t="s">
        <v>203</v>
      </c>
      <c r="H67" t="s">
        <v>265</v>
      </c>
      <c r="I67">
        <v>5</v>
      </c>
      <c r="J67" t="s">
        <v>214</v>
      </c>
    </row>
    <row r="68" spans="1:10" x14ac:dyDescent="0.3">
      <c r="A68">
        <v>1992</v>
      </c>
      <c r="B68" t="s">
        <v>20</v>
      </c>
      <c r="C68" t="s">
        <v>211</v>
      </c>
      <c r="D68" t="s">
        <v>212</v>
      </c>
      <c r="E68" t="s">
        <v>264</v>
      </c>
      <c r="F68">
        <v>17</v>
      </c>
      <c r="G68" t="s">
        <v>203</v>
      </c>
      <c r="I68">
        <v>17</v>
      </c>
      <c r="J68" t="s">
        <v>214</v>
      </c>
    </row>
    <row r="69" spans="1:10" x14ac:dyDescent="0.3">
      <c r="A69">
        <v>1992</v>
      </c>
      <c r="B69" t="s">
        <v>20</v>
      </c>
      <c r="C69" t="s">
        <v>211</v>
      </c>
      <c r="D69" t="s">
        <v>215</v>
      </c>
      <c r="E69" t="s">
        <v>264</v>
      </c>
      <c r="F69">
        <v>17</v>
      </c>
      <c r="G69" t="s">
        <v>203</v>
      </c>
      <c r="H69" t="s">
        <v>265</v>
      </c>
      <c r="I69">
        <v>9</v>
      </c>
      <c r="J69" t="s">
        <v>214</v>
      </c>
    </row>
    <row r="70" spans="1:10" x14ac:dyDescent="0.3">
      <c r="A70">
        <v>1988</v>
      </c>
      <c r="B70" t="s">
        <v>20</v>
      </c>
      <c r="C70" t="s">
        <v>230</v>
      </c>
      <c r="D70" t="s">
        <v>212</v>
      </c>
      <c r="E70" t="s">
        <v>234</v>
      </c>
      <c r="F70">
        <v>18</v>
      </c>
      <c r="G70" t="s">
        <v>203</v>
      </c>
      <c r="I70">
        <v>33</v>
      </c>
      <c r="J70" t="s">
        <v>214</v>
      </c>
    </row>
    <row r="71" spans="1:10" x14ac:dyDescent="0.3">
      <c r="A71">
        <v>1988</v>
      </c>
      <c r="B71" t="s">
        <v>20</v>
      </c>
      <c r="C71" t="s">
        <v>230</v>
      </c>
      <c r="D71" t="s">
        <v>215</v>
      </c>
      <c r="E71" t="s">
        <v>234</v>
      </c>
      <c r="F71">
        <v>18</v>
      </c>
      <c r="G71" t="s">
        <v>203</v>
      </c>
      <c r="H71" t="s">
        <v>266</v>
      </c>
      <c r="I71">
        <v>17</v>
      </c>
      <c r="J71" t="s">
        <v>214</v>
      </c>
    </row>
    <row r="72" spans="1:10" x14ac:dyDescent="0.3">
      <c r="A72">
        <v>1992</v>
      </c>
      <c r="B72" t="s">
        <v>20</v>
      </c>
      <c r="C72" t="s">
        <v>230</v>
      </c>
      <c r="D72" t="s">
        <v>212</v>
      </c>
      <c r="E72" t="s">
        <v>234</v>
      </c>
      <c r="F72">
        <v>18</v>
      </c>
      <c r="G72" t="s">
        <v>203</v>
      </c>
      <c r="I72">
        <v>2</v>
      </c>
      <c r="J72" t="s">
        <v>217</v>
      </c>
    </row>
    <row r="73" spans="1:10" x14ac:dyDescent="0.3">
      <c r="A73">
        <v>1992</v>
      </c>
      <c r="B73" t="s">
        <v>20</v>
      </c>
      <c r="C73" t="s">
        <v>230</v>
      </c>
      <c r="D73" t="s">
        <v>215</v>
      </c>
      <c r="E73" t="s">
        <v>234</v>
      </c>
      <c r="F73">
        <v>18</v>
      </c>
      <c r="G73" t="s">
        <v>203</v>
      </c>
      <c r="H73" t="s">
        <v>262</v>
      </c>
      <c r="I73">
        <v>5</v>
      </c>
      <c r="J73" t="s">
        <v>214</v>
      </c>
    </row>
    <row r="74" spans="1:10" x14ac:dyDescent="0.3">
      <c r="A74">
        <v>1996</v>
      </c>
      <c r="B74" t="s">
        <v>20</v>
      </c>
      <c r="C74" t="s">
        <v>230</v>
      </c>
      <c r="D74" t="s">
        <v>212</v>
      </c>
      <c r="E74" t="s">
        <v>234</v>
      </c>
      <c r="F74">
        <v>18</v>
      </c>
      <c r="G74" t="s">
        <v>203</v>
      </c>
      <c r="I74">
        <v>17</v>
      </c>
      <c r="J74" t="s">
        <v>214</v>
      </c>
    </row>
    <row r="75" spans="1:10" x14ac:dyDescent="0.3">
      <c r="A75">
        <v>1996</v>
      </c>
      <c r="B75" t="s">
        <v>20</v>
      </c>
      <c r="C75" t="s">
        <v>230</v>
      </c>
      <c r="D75" t="s">
        <v>215</v>
      </c>
      <c r="E75" t="s">
        <v>234</v>
      </c>
      <c r="F75">
        <v>18</v>
      </c>
      <c r="G75" t="s">
        <v>203</v>
      </c>
      <c r="H75" t="s">
        <v>262</v>
      </c>
      <c r="I75">
        <v>5</v>
      </c>
      <c r="J75" t="s">
        <v>214</v>
      </c>
    </row>
    <row r="76" spans="1:10" x14ac:dyDescent="0.3">
      <c r="A76">
        <v>2000</v>
      </c>
      <c r="B76" t="s">
        <v>20</v>
      </c>
      <c r="C76" t="s">
        <v>230</v>
      </c>
      <c r="D76" t="s">
        <v>212</v>
      </c>
      <c r="E76" t="s">
        <v>234</v>
      </c>
      <c r="F76">
        <v>18</v>
      </c>
      <c r="G76" t="s">
        <v>203</v>
      </c>
      <c r="I76">
        <v>17</v>
      </c>
      <c r="J76" t="s">
        <v>214</v>
      </c>
    </row>
    <row r="77" spans="1:10" x14ac:dyDescent="0.3">
      <c r="A77">
        <v>2000</v>
      </c>
      <c r="B77" t="s">
        <v>20</v>
      </c>
      <c r="C77" t="s">
        <v>230</v>
      </c>
      <c r="D77" t="s">
        <v>215</v>
      </c>
      <c r="E77" t="s">
        <v>234</v>
      </c>
      <c r="F77">
        <v>18</v>
      </c>
      <c r="G77" t="s">
        <v>203</v>
      </c>
      <c r="H77" t="s">
        <v>232</v>
      </c>
      <c r="I77">
        <v>3</v>
      </c>
      <c r="J77" t="s">
        <v>217</v>
      </c>
    </row>
    <row r="78" spans="1:10" x14ac:dyDescent="0.3">
      <c r="A78">
        <v>1900</v>
      </c>
      <c r="B78" t="s">
        <v>20</v>
      </c>
      <c r="C78" t="s">
        <v>211</v>
      </c>
      <c r="D78" t="s">
        <v>246</v>
      </c>
      <c r="E78" t="s">
        <v>254</v>
      </c>
      <c r="F78">
        <v>19</v>
      </c>
      <c r="G78" t="s">
        <v>203</v>
      </c>
      <c r="H78" t="s">
        <v>267</v>
      </c>
      <c r="I78">
        <v>2</v>
      </c>
      <c r="J78" t="s">
        <v>217</v>
      </c>
    </row>
    <row r="79" spans="1:10" x14ac:dyDescent="0.3">
      <c r="A79">
        <v>1900</v>
      </c>
      <c r="B79" t="s">
        <v>20</v>
      </c>
      <c r="C79" t="s">
        <v>211</v>
      </c>
      <c r="D79" t="s">
        <v>239</v>
      </c>
      <c r="E79" t="s">
        <v>254</v>
      </c>
      <c r="F79">
        <v>19</v>
      </c>
      <c r="G79" t="s">
        <v>203</v>
      </c>
      <c r="I79">
        <v>9</v>
      </c>
      <c r="J79" t="s">
        <v>214</v>
      </c>
    </row>
    <row r="80" spans="1:10" x14ac:dyDescent="0.3">
      <c r="A80">
        <v>1900</v>
      </c>
      <c r="B80" t="s">
        <v>20</v>
      </c>
      <c r="C80" t="s">
        <v>211</v>
      </c>
      <c r="D80" t="s">
        <v>240</v>
      </c>
      <c r="E80" t="s">
        <v>254</v>
      </c>
      <c r="F80">
        <v>19</v>
      </c>
      <c r="G80" t="s">
        <v>203</v>
      </c>
      <c r="H80" t="s">
        <v>268</v>
      </c>
      <c r="I80">
        <v>2</v>
      </c>
      <c r="J80" t="s">
        <v>217</v>
      </c>
    </row>
    <row r="81" spans="1:10" x14ac:dyDescent="0.3">
      <c r="C81" t="s">
        <v>211</v>
      </c>
      <c r="D81" t="s">
        <v>250</v>
      </c>
      <c r="E81" t="s">
        <v>254</v>
      </c>
      <c r="F81">
        <v>19</v>
      </c>
      <c r="G81" t="s">
        <v>203</v>
      </c>
      <c r="I81">
        <v>2</v>
      </c>
      <c r="J81" t="s">
        <v>217</v>
      </c>
    </row>
    <row r="82" spans="1:10" x14ac:dyDescent="0.3">
      <c r="C82" t="s">
        <v>211</v>
      </c>
      <c r="D82" t="s">
        <v>253</v>
      </c>
      <c r="E82" t="s">
        <v>254</v>
      </c>
      <c r="F82">
        <v>19</v>
      </c>
      <c r="G82" t="s">
        <v>203</v>
      </c>
      <c r="H82" t="s">
        <v>248</v>
      </c>
      <c r="I82">
        <v>1</v>
      </c>
      <c r="J82" t="s">
        <v>217</v>
      </c>
    </row>
    <row r="83" spans="1:10" x14ac:dyDescent="0.3">
      <c r="A83">
        <v>1908</v>
      </c>
      <c r="B83" t="s">
        <v>20</v>
      </c>
      <c r="C83" t="s">
        <v>211</v>
      </c>
      <c r="D83" t="s">
        <v>212</v>
      </c>
      <c r="E83" t="s">
        <v>254</v>
      </c>
      <c r="F83">
        <v>19</v>
      </c>
      <c r="G83" t="s">
        <v>203</v>
      </c>
      <c r="I83">
        <v>5</v>
      </c>
      <c r="J83" t="s">
        <v>214</v>
      </c>
    </row>
    <row r="84" spans="1:10" x14ac:dyDescent="0.3">
      <c r="A84">
        <v>1908</v>
      </c>
      <c r="B84" t="s">
        <v>20</v>
      </c>
      <c r="C84" t="s">
        <v>211</v>
      </c>
      <c r="D84" t="s">
        <v>215</v>
      </c>
      <c r="E84" t="s">
        <v>254</v>
      </c>
      <c r="F84">
        <v>19</v>
      </c>
      <c r="G84" t="s">
        <v>203</v>
      </c>
      <c r="H84" t="s">
        <v>248</v>
      </c>
      <c r="J84" t="s">
        <v>217</v>
      </c>
    </row>
    <row r="85" spans="1:10" x14ac:dyDescent="0.3">
      <c r="A85">
        <v>1912</v>
      </c>
      <c r="B85" t="s">
        <v>20</v>
      </c>
      <c r="C85" t="s">
        <v>211</v>
      </c>
      <c r="D85" t="s">
        <v>256</v>
      </c>
      <c r="E85" t="s">
        <v>254</v>
      </c>
      <c r="F85">
        <v>19</v>
      </c>
      <c r="G85" t="s">
        <v>203</v>
      </c>
      <c r="I85">
        <v>9</v>
      </c>
      <c r="J85" t="s">
        <v>214</v>
      </c>
    </row>
    <row r="86" spans="1:10" x14ac:dyDescent="0.3">
      <c r="A86">
        <v>1912</v>
      </c>
      <c r="B86" t="s">
        <v>20</v>
      </c>
      <c r="C86" t="s">
        <v>211</v>
      </c>
      <c r="D86" t="s">
        <v>269</v>
      </c>
      <c r="E86" t="s">
        <v>254</v>
      </c>
      <c r="F86">
        <v>19</v>
      </c>
      <c r="G86" t="s">
        <v>203</v>
      </c>
      <c r="H86" t="s">
        <v>270</v>
      </c>
      <c r="I86">
        <v>1</v>
      </c>
      <c r="J86" t="s">
        <v>217</v>
      </c>
    </row>
    <row r="87" spans="1:10" x14ac:dyDescent="0.3">
      <c r="A87">
        <v>1912</v>
      </c>
      <c r="B87" t="s">
        <v>20</v>
      </c>
      <c r="C87" t="s">
        <v>211</v>
      </c>
      <c r="D87" t="s">
        <v>256</v>
      </c>
      <c r="E87" t="s">
        <v>270</v>
      </c>
      <c r="F87">
        <v>20</v>
      </c>
      <c r="G87" t="s">
        <v>203</v>
      </c>
      <c r="I87">
        <v>1</v>
      </c>
      <c r="J87" t="s">
        <v>217</v>
      </c>
    </row>
    <row r="88" spans="1:10" x14ac:dyDescent="0.3">
      <c r="A88">
        <v>1912</v>
      </c>
      <c r="B88" t="s">
        <v>20</v>
      </c>
      <c r="C88" t="s">
        <v>211</v>
      </c>
      <c r="D88" t="s">
        <v>269</v>
      </c>
      <c r="E88" t="s">
        <v>270</v>
      </c>
      <c r="F88">
        <v>20</v>
      </c>
      <c r="G88" t="s">
        <v>203</v>
      </c>
      <c r="H88" t="s">
        <v>254</v>
      </c>
      <c r="I88">
        <v>1</v>
      </c>
      <c r="J88" t="s">
        <v>217</v>
      </c>
    </row>
    <row r="89" spans="1:10" x14ac:dyDescent="0.3">
      <c r="A89">
        <v>1920</v>
      </c>
      <c r="B89" t="s">
        <v>20</v>
      </c>
      <c r="C89" t="s">
        <v>211</v>
      </c>
      <c r="D89" t="s">
        <v>218</v>
      </c>
      <c r="E89" t="s">
        <v>271</v>
      </c>
      <c r="F89">
        <v>21</v>
      </c>
      <c r="G89" t="s">
        <v>203</v>
      </c>
      <c r="H89" t="s">
        <v>272</v>
      </c>
      <c r="I89">
        <v>8</v>
      </c>
      <c r="J89" t="s">
        <v>214</v>
      </c>
    </row>
    <row r="90" spans="1:10" x14ac:dyDescent="0.3">
      <c r="A90">
        <v>1924</v>
      </c>
      <c r="B90" t="s">
        <v>20</v>
      </c>
      <c r="C90" t="s">
        <v>211</v>
      </c>
      <c r="D90" t="s">
        <v>212</v>
      </c>
      <c r="E90" t="s">
        <v>225</v>
      </c>
      <c r="F90">
        <v>22</v>
      </c>
      <c r="G90" t="s">
        <v>203</v>
      </c>
      <c r="I90">
        <v>5</v>
      </c>
      <c r="J90" t="s">
        <v>214</v>
      </c>
    </row>
    <row r="91" spans="1:10" x14ac:dyDescent="0.3">
      <c r="A91">
        <v>1924</v>
      </c>
      <c r="B91" t="s">
        <v>20</v>
      </c>
      <c r="C91" t="s">
        <v>211</v>
      </c>
      <c r="D91" t="s">
        <v>215</v>
      </c>
      <c r="E91" t="s">
        <v>225</v>
      </c>
      <c r="F91">
        <v>22</v>
      </c>
      <c r="G91" t="s">
        <v>203</v>
      </c>
      <c r="H91" t="s">
        <v>223</v>
      </c>
      <c r="I91">
        <v>3</v>
      </c>
      <c r="J91" t="s">
        <v>217</v>
      </c>
    </row>
    <row r="92" spans="1:10" x14ac:dyDescent="0.3">
      <c r="A92">
        <v>1912</v>
      </c>
      <c r="B92" t="s">
        <v>20</v>
      </c>
      <c r="C92" t="s">
        <v>211</v>
      </c>
      <c r="D92" t="s">
        <v>212</v>
      </c>
      <c r="E92" t="s">
        <v>273</v>
      </c>
      <c r="F92">
        <v>23</v>
      </c>
      <c r="G92" t="s">
        <v>203</v>
      </c>
      <c r="J92" t="s">
        <v>217</v>
      </c>
    </row>
    <row r="93" spans="1:10" x14ac:dyDescent="0.3">
      <c r="A93">
        <v>1912</v>
      </c>
      <c r="B93" t="s">
        <v>20</v>
      </c>
      <c r="C93" t="s">
        <v>211</v>
      </c>
      <c r="D93" t="s">
        <v>215</v>
      </c>
      <c r="E93" t="s">
        <v>273</v>
      </c>
      <c r="F93">
        <v>23</v>
      </c>
      <c r="G93" t="s">
        <v>203</v>
      </c>
      <c r="H93" t="s">
        <v>274</v>
      </c>
      <c r="J93" t="s">
        <v>217</v>
      </c>
    </row>
    <row r="94" spans="1:10" x14ac:dyDescent="0.3">
      <c r="A94">
        <v>1920</v>
      </c>
      <c r="B94" t="s">
        <v>20</v>
      </c>
      <c r="C94" t="s">
        <v>211</v>
      </c>
      <c r="D94" t="s">
        <v>215</v>
      </c>
      <c r="E94" t="s">
        <v>273</v>
      </c>
      <c r="F94">
        <v>23</v>
      </c>
      <c r="G94" t="s">
        <v>203</v>
      </c>
      <c r="H94" t="s">
        <v>274</v>
      </c>
      <c r="I94">
        <v>9</v>
      </c>
      <c r="J94" t="s">
        <v>214</v>
      </c>
    </row>
    <row r="95" spans="1:10" x14ac:dyDescent="0.3">
      <c r="A95">
        <v>1900</v>
      </c>
      <c r="B95" t="s">
        <v>20</v>
      </c>
      <c r="C95" t="s">
        <v>211</v>
      </c>
      <c r="D95" t="s">
        <v>212</v>
      </c>
      <c r="E95" t="s">
        <v>275</v>
      </c>
      <c r="F95">
        <v>24</v>
      </c>
      <c r="G95" t="s">
        <v>203</v>
      </c>
      <c r="I95">
        <v>8</v>
      </c>
      <c r="J95" t="s">
        <v>214</v>
      </c>
    </row>
    <row r="96" spans="1:10" x14ac:dyDescent="0.3">
      <c r="A96">
        <v>1900</v>
      </c>
      <c r="B96" t="s">
        <v>20</v>
      </c>
      <c r="C96" t="s">
        <v>211</v>
      </c>
      <c r="D96" t="s">
        <v>215</v>
      </c>
      <c r="E96" t="s">
        <v>275</v>
      </c>
      <c r="F96">
        <v>24</v>
      </c>
      <c r="G96" t="s">
        <v>203</v>
      </c>
      <c r="H96" t="s">
        <v>276</v>
      </c>
      <c r="I96">
        <v>5</v>
      </c>
      <c r="J96" t="s">
        <v>214</v>
      </c>
    </row>
    <row r="97" spans="1:10" x14ac:dyDescent="0.3">
      <c r="A97">
        <v>1900</v>
      </c>
      <c r="B97" t="s">
        <v>20</v>
      </c>
      <c r="C97" t="s">
        <v>211</v>
      </c>
      <c r="D97" t="s">
        <v>239</v>
      </c>
      <c r="E97" t="s">
        <v>275</v>
      </c>
      <c r="F97">
        <v>24</v>
      </c>
      <c r="G97" t="s">
        <v>203</v>
      </c>
      <c r="I97">
        <v>9</v>
      </c>
      <c r="J97" t="s">
        <v>214</v>
      </c>
    </row>
    <row r="98" spans="1:10" x14ac:dyDescent="0.3">
      <c r="A98">
        <v>1900</v>
      </c>
      <c r="B98" t="s">
        <v>20</v>
      </c>
      <c r="C98" t="s">
        <v>211</v>
      </c>
      <c r="D98" t="s">
        <v>240</v>
      </c>
      <c r="E98" t="s">
        <v>275</v>
      </c>
      <c r="F98">
        <v>24</v>
      </c>
      <c r="G98" t="s">
        <v>203</v>
      </c>
      <c r="H98" t="s">
        <v>276</v>
      </c>
      <c r="I98">
        <v>3</v>
      </c>
      <c r="J98" t="s">
        <v>214</v>
      </c>
    </row>
    <row r="99" spans="1:10" x14ac:dyDescent="0.3">
      <c r="A99">
        <v>1900</v>
      </c>
      <c r="B99" t="s">
        <v>20</v>
      </c>
      <c r="C99" t="s">
        <v>211</v>
      </c>
      <c r="D99" t="s">
        <v>212</v>
      </c>
      <c r="E99" t="s">
        <v>276</v>
      </c>
      <c r="F99">
        <v>25</v>
      </c>
      <c r="G99" t="s">
        <v>203</v>
      </c>
      <c r="I99">
        <v>5</v>
      </c>
      <c r="J99" t="s">
        <v>214</v>
      </c>
    </row>
    <row r="100" spans="1:10" x14ac:dyDescent="0.3">
      <c r="A100">
        <v>1900</v>
      </c>
      <c r="B100" t="s">
        <v>20</v>
      </c>
      <c r="C100" t="s">
        <v>211</v>
      </c>
      <c r="D100" t="s">
        <v>215</v>
      </c>
      <c r="E100" t="s">
        <v>276</v>
      </c>
      <c r="F100">
        <v>25</v>
      </c>
      <c r="G100" t="s">
        <v>203</v>
      </c>
      <c r="H100" t="s">
        <v>275</v>
      </c>
      <c r="I100">
        <v>5</v>
      </c>
      <c r="J100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76DD-B3C0-44B7-8350-978C9A300BDE}">
  <dimension ref="A1:K100"/>
  <sheetViews>
    <sheetView workbookViewId="0">
      <selection activeCell="O11" sqref="O11"/>
    </sheetView>
  </sheetViews>
  <sheetFormatPr baseColWidth="10" defaultRowHeight="14.4" x14ac:dyDescent="0.3"/>
  <sheetData>
    <row r="1" spans="1:11" x14ac:dyDescent="0.3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208</v>
      </c>
      <c r="H1" t="s">
        <v>283</v>
      </c>
      <c r="I1" t="s">
        <v>284</v>
      </c>
      <c r="J1" t="s">
        <v>285</v>
      </c>
      <c r="K1" t="s">
        <v>286</v>
      </c>
    </row>
    <row r="2" spans="1:11" x14ac:dyDescent="0.3">
      <c r="A2" t="s">
        <v>287</v>
      </c>
      <c r="B2" t="s">
        <v>212</v>
      </c>
      <c r="D2">
        <f>17</f>
        <v>17</v>
      </c>
      <c r="F2" t="s">
        <v>213</v>
      </c>
      <c r="G2">
        <v>1</v>
      </c>
      <c r="H2" t="s">
        <v>203</v>
      </c>
      <c r="I2" t="s">
        <v>211</v>
      </c>
    </row>
    <row r="3" spans="1:11" x14ac:dyDescent="0.3">
      <c r="A3" t="s">
        <v>287</v>
      </c>
      <c r="B3" t="s">
        <v>215</v>
      </c>
      <c r="C3" t="s">
        <v>216</v>
      </c>
      <c r="D3" t="s">
        <v>288</v>
      </c>
      <c r="F3" t="s">
        <v>213</v>
      </c>
      <c r="G3">
        <v>1</v>
      </c>
      <c r="H3" t="s">
        <v>203</v>
      </c>
      <c r="I3" t="s">
        <v>211</v>
      </c>
    </row>
    <row r="4" spans="1:11" x14ac:dyDescent="0.3">
      <c r="A4" t="s">
        <v>289</v>
      </c>
      <c r="B4" t="s">
        <v>212</v>
      </c>
      <c r="D4">
        <f>32</f>
        <v>32</v>
      </c>
      <c r="F4" t="s">
        <v>213</v>
      </c>
      <c r="G4">
        <v>1</v>
      </c>
      <c r="H4" t="s">
        <v>203</v>
      </c>
      <c r="I4" t="s">
        <v>211</v>
      </c>
    </row>
    <row r="5" spans="1:11" x14ac:dyDescent="0.3">
      <c r="A5" t="s">
        <v>289</v>
      </c>
      <c r="B5" t="s">
        <v>218</v>
      </c>
      <c r="C5" t="s">
        <v>219</v>
      </c>
      <c r="D5">
        <f>8</f>
        <v>8</v>
      </c>
      <c r="F5" t="s">
        <v>213</v>
      </c>
      <c r="G5">
        <v>1</v>
      </c>
      <c r="H5" t="s">
        <v>203</v>
      </c>
      <c r="I5" t="s">
        <v>211</v>
      </c>
    </row>
    <row r="6" spans="1:11" x14ac:dyDescent="0.3">
      <c r="A6" t="s">
        <v>289</v>
      </c>
      <c r="B6" t="s">
        <v>215</v>
      </c>
      <c r="C6" t="s">
        <v>220</v>
      </c>
      <c r="D6">
        <v>4</v>
      </c>
      <c r="F6" t="s">
        <v>213</v>
      </c>
      <c r="G6">
        <v>1</v>
      </c>
      <c r="H6" t="s">
        <v>203</v>
      </c>
      <c r="I6" t="s">
        <v>211</v>
      </c>
    </row>
    <row r="7" spans="1:11" x14ac:dyDescent="0.3">
      <c r="A7" t="s">
        <v>290</v>
      </c>
      <c r="B7" t="s">
        <v>212</v>
      </c>
      <c r="D7">
        <f>17</f>
        <v>17</v>
      </c>
      <c r="F7" t="s">
        <v>221</v>
      </c>
      <c r="G7">
        <v>2</v>
      </c>
      <c r="H7" t="s">
        <v>203</v>
      </c>
      <c r="I7" t="s">
        <v>211</v>
      </c>
    </row>
    <row r="8" spans="1:11" x14ac:dyDescent="0.3">
      <c r="A8" t="s">
        <v>290</v>
      </c>
      <c r="B8" t="s">
        <v>215</v>
      </c>
      <c r="C8" t="s">
        <v>222</v>
      </c>
      <c r="D8">
        <f>17</f>
        <v>17</v>
      </c>
      <c r="F8" t="s">
        <v>221</v>
      </c>
      <c r="G8">
        <v>2</v>
      </c>
      <c r="H8" t="s">
        <v>203</v>
      </c>
      <c r="I8" t="s">
        <v>211</v>
      </c>
    </row>
    <row r="9" spans="1:11" x14ac:dyDescent="0.3">
      <c r="A9" t="s">
        <v>291</v>
      </c>
      <c r="B9" t="s">
        <v>212</v>
      </c>
      <c r="D9">
        <v>4</v>
      </c>
      <c r="F9" t="s">
        <v>223</v>
      </c>
      <c r="G9">
        <v>3</v>
      </c>
      <c r="H9" t="s">
        <v>203</v>
      </c>
      <c r="I9" t="s">
        <v>211</v>
      </c>
    </row>
    <row r="10" spans="1:11" x14ac:dyDescent="0.3">
      <c r="A10" t="s">
        <v>291</v>
      </c>
      <c r="B10" t="s">
        <v>218</v>
      </c>
      <c r="C10" t="s">
        <v>224</v>
      </c>
      <c r="D10">
        <f>15</f>
        <v>15</v>
      </c>
      <c r="F10" t="s">
        <v>223</v>
      </c>
      <c r="G10">
        <v>3</v>
      </c>
      <c r="H10" t="s">
        <v>203</v>
      </c>
      <c r="I10" t="s">
        <v>211</v>
      </c>
    </row>
    <row r="11" spans="1:11" x14ac:dyDescent="0.3">
      <c r="A11" t="s">
        <v>291</v>
      </c>
      <c r="B11" t="s">
        <v>215</v>
      </c>
      <c r="C11" t="s">
        <v>225</v>
      </c>
      <c r="D11">
        <v>3</v>
      </c>
      <c r="E11" t="s">
        <v>107</v>
      </c>
      <c r="F11" t="s">
        <v>223</v>
      </c>
      <c r="G11">
        <v>3</v>
      </c>
      <c r="H11" t="s">
        <v>203</v>
      </c>
      <c r="I11" t="s">
        <v>211</v>
      </c>
    </row>
    <row r="12" spans="1:11" x14ac:dyDescent="0.3">
      <c r="A12" t="s">
        <v>289</v>
      </c>
      <c r="B12" t="s">
        <v>212</v>
      </c>
      <c r="D12">
        <f>9</f>
        <v>9</v>
      </c>
      <c r="F12" t="s">
        <v>220</v>
      </c>
      <c r="G12">
        <v>4</v>
      </c>
      <c r="H12" t="s">
        <v>203</v>
      </c>
      <c r="I12" t="s">
        <v>211</v>
      </c>
    </row>
    <row r="13" spans="1:11" x14ac:dyDescent="0.3">
      <c r="A13" t="s">
        <v>289</v>
      </c>
      <c r="B13" t="s">
        <v>215</v>
      </c>
      <c r="C13" t="s">
        <v>213</v>
      </c>
      <c r="D13">
        <v>4</v>
      </c>
      <c r="F13" t="s">
        <v>220</v>
      </c>
      <c r="G13">
        <v>4</v>
      </c>
      <c r="H13" t="s">
        <v>203</v>
      </c>
      <c r="I13" t="s">
        <v>211</v>
      </c>
    </row>
    <row r="14" spans="1:11" x14ac:dyDescent="0.3">
      <c r="A14" t="s">
        <v>291</v>
      </c>
      <c r="B14" t="s">
        <v>215</v>
      </c>
      <c r="C14" t="s">
        <v>226</v>
      </c>
      <c r="D14">
        <v>2</v>
      </c>
      <c r="E14" t="s">
        <v>136</v>
      </c>
      <c r="F14" t="s">
        <v>220</v>
      </c>
      <c r="G14">
        <v>4</v>
      </c>
      <c r="H14" t="s">
        <v>203</v>
      </c>
      <c r="I14" t="s">
        <v>211</v>
      </c>
    </row>
    <row r="15" spans="1:11" x14ac:dyDescent="0.3">
      <c r="A15" t="s">
        <v>287</v>
      </c>
      <c r="B15" t="s">
        <v>212</v>
      </c>
      <c r="D15">
        <f>17</f>
        <v>17</v>
      </c>
      <c r="F15" t="s">
        <v>227</v>
      </c>
      <c r="G15">
        <v>5</v>
      </c>
      <c r="H15" t="s">
        <v>203</v>
      </c>
      <c r="I15" t="s">
        <v>211</v>
      </c>
    </row>
    <row r="16" spans="1:11" x14ac:dyDescent="0.3">
      <c r="A16" t="s">
        <v>287</v>
      </c>
      <c r="B16" t="s">
        <v>218</v>
      </c>
      <c r="C16" t="s">
        <v>228</v>
      </c>
      <c r="D16">
        <v>3</v>
      </c>
      <c r="E16" t="s">
        <v>107</v>
      </c>
      <c r="F16" t="s">
        <v>227</v>
      </c>
      <c r="G16">
        <v>5</v>
      </c>
      <c r="H16" t="s">
        <v>203</v>
      </c>
      <c r="I16" t="s">
        <v>211</v>
      </c>
    </row>
    <row r="17" spans="1:9" x14ac:dyDescent="0.3">
      <c r="A17" t="s">
        <v>287</v>
      </c>
      <c r="B17" t="s">
        <v>215</v>
      </c>
      <c r="C17" t="s">
        <v>229</v>
      </c>
      <c r="D17">
        <v>3</v>
      </c>
      <c r="E17" t="s">
        <v>107</v>
      </c>
      <c r="F17" t="s">
        <v>227</v>
      </c>
      <c r="G17">
        <v>5</v>
      </c>
      <c r="H17" t="s">
        <v>203</v>
      </c>
      <c r="I17" t="s">
        <v>211</v>
      </c>
    </row>
    <row r="18" spans="1:9" x14ac:dyDescent="0.3">
      <c r="A18" t="s">
        <v>292</v>
      </c>
      <c r="B18" t="s">
        <v>212</v>
      </c>
      <c r="D18">
        <f>33</f>
        <v>33</v>
      </c>
      <c r="F18" t="s">
        <v>231</v>
      </c>
      <c r="G18">
        <v>6</v>
      </c>
      <c r="H18" t="s">
        <v>203</v>
      </c>
      <c r="I18" t="s">
        <v>230</v>
      </c>
    </row>
    <row r="19" spans="1:9" x14ac:dyDescent="0.3">
      <c r="A19" t="s">
        <v>292</v>
      </c>
      <c r="B19" t="s">
        <v>215</v>
      </c>
      <c r="C19" t="s">
        <v>232</v>
      </c>
      <c r="D19">
        <f>17</f>
        <v>17</v>
      </c>
      <c r="F19" t="s">
        <v>231</v>
      </c>
      <c r="G19">
        <v>6</v>
      </c>
      <c r="H19" t="s">
        <v>203</v>
      </c>
      <c r="I19" t="s">
        <v>230</v>
      </c>
    </row>
    <row r="20" spans="1:9" x14ac:dyDescent="0.3">
      <c r="A20" t="s">
        <v>292</v>
      </c>
      <c r="B20" t="s">
        <v>215</v>
      </c>
      <c r="C20" t="s">
        <v>231</v>
      </c>
      <c r="D20">
        <f>17</f>
        <v>17</v>
      </c>
      <c r="F20" t="s">
        <v>232</v>
      </c>
      <c r="G20">
        <v>7</v>
      </c>
      <c r="H20" t="s">
        <v>203</v>
      </c>
      <c r="I20" t="s">
        <v>230</v>
      </c>
    </row>
    <row r="21" spans="1:9" x14ac:dyDescent="0.3">
      <c r="A21" t="s">
        <v>290</v>
      </c>
      <c r="B21" t="s">
        <v>212</v>
      </c>
      <c r="D21">
        <f>9</f>
        <v>9</v>
      </c>
      <c r="F21" t="s">
        <v>232</v>
      </c>
      <c r="G21">
        <v>7</v>
      </c>
      <c r="H21" t="s">
        <v>203</v>
      </c>
      <c r="I21" t="s">
        <v>230</v>
      </c>
    </row>
    <row r="22" spans="1:9" x14ac:dyDescent="0.3">
      <c r="A22" t="s">
        <v>290</v>
      </c>
      <c r="B22" t="s">
        <v>215</v>
      </c>
      <c r="C22" t="s">
        <v>233</v>
      </c>
      <c r="D22">
        <f>9</f>
        <v>9</v>
      </c>
      <c r="F22" t="s">
        <v>232</v>
      </c>
      <c r="G22">
        <v>7</v>
      </c>
      <c r="H22" t="s">
        <v>203</v>
      </c>
      <c r="I22" t="s">
        <v>230</v>
      </c>
    </row>
    <row r="23" spans="1:9" x14ac:dyDescent="0.3">
      <c r="A23" t="s">
        <v>293</v>
      </c>
      <c r="B23" t="s">
        <v>215</v>
      </c>
      <c r="C23" t="s">
        <v>234</v>
      </c>
      <c r="D23">
        <v>3</v>
      </c>
      <c r="E23" t="s">
        <v>107</v>
      </c>
      <c r="F23" t="s">
        <v>232</v>
      </c>
      <c r="G23">
        <v>7</v>
      </c>
      <c r="H23" t="s">
        <v>203</v>
      </c>
      <c r="I23" t="s">
        <v>230</v>
      </c>
    </row>
    <row r="24" spans="1:9" x14ac:dyDescent="0.3">
      <c r="A24" t="s">
        <v>294</v>
      </c>
      <c r="B24" t="s">
        <v>212</v>
      </c>
      <c r="D24">
        <f>17</f>
        <v>17</v>
      </c>
      <c r="F24" t="s">
        <v>232</v>
      </c>
      <c r="G24">
        <v>7</v>
      </c>
      <c r="H24" t="s">
        <v>203</v>
      </c>
      <c r="I24" t="s">
        <v>230</v>
      </c>
    </row>
    <row r="25" spans="1:9" x14ac:dyDescent="0.3">
      <c r="A25" t="s">
        <v>295</v>
      </c>
      <c r="B25" t="s">
        <v>212</v>
      </c>
      <c r="D25">
        <f>49</f>
        <v>49</v>
      </c>
      <c r="F25" t="s">
        <v>232</v>
      </c>
      <c r="G25">
        <v>7</v>
      </c>
      <c r="H25" t="s">
        <v>203</v>
      </c>
      <c r="I25" t="s">
        <v>230</v>
      </c>
    </row>
    <row r="26" spans="1:9" x14ac:dyDescent="0.3">
      <c r="A26" t="s">
        <v>291</v>
      </c>
      <c r="B26" t="s">
        <v>212</v>
      </c>
      <c r="D26">
        <v>2</v>
      </c>
      <c r="E26" t="s">
        <v>136</v>
      </c>
      <c r="F26" t="s">
        <v>226</v>
      </c>
      <c r="G26">
        <v>8</v>
      </c>
      <c r="H26" t="s">
        <v>203</v>
      </c>
      <c r="I26" t="s">
        <v>211</v>
      </c>
    </row>
    <row r="27" spans="1:9" x14ac:dyDescent="0.3">
      <c r="A27" t="s">
        <v>291</v>
      </c>
      <c r="B27" t="s">
        <v>218</v>
      </c>
      <c r="C27" t="s">
        <v>235</v>
      </c>
      <c r="D27" t="s">
        <v>288</v>
      </c>
      <c r="F27" t="s">
        <v>226</v>
      </c>
      <c r="G27">
        <v>8</v>
      </c>
      <c r="H27" t="s">
        <v>203</v>
      </c>
      <c r="I27" t="s">
        <v>211</v>
      </c>
    </row>
    <row r="28" spans="1:9" x14ac:dyDescent="0.3">
      <c r="A28" t="s">
        <v>291</v>
      </c>
      <c r="B28" t="s">
        <v>215</v>
      </c>
      <c r="C28" t="s">
        <v>220</v>
      </c>
      <c r="D28">
        <v>2</v>
      </c>
      <c r="E28" t="s">
        <v>136</v>
      </c>
      <c r="F28" t="s">
        <v>226</v>
      </c>
      <c r="G28">
        <v>8</v>
      </c>
      <c r="H28" t="s">
        <v>203</v>
      </c>
      <c r="I28" t="s">
        <v>211</v>
      </c>
    </row>
    <row r="29" spans="1:9" x14ac:dyDescent="0.3">
      <c r="A29" t="s">
        <v>291</v>
      </c>
      <c r="B29" t="s">
        <v>212</v>
      </c>
      <c r="D29">
        <f>17</f>
        <v>17</v>
      </c>
      <c r="F29" t="s">
        <v>236</v>
      </c>
      <c r="G29">
        <v>9</v>
      </c>
      <c r="H29" t="s">
        <v>203</v>
      </c>
      <c r="I29" t="s">
        <v>211</v>
      </c>
    </row>
    <row r="30" spans="1:9" x14ac:dyDescent="0.3">
      <c r="A30" t="s">
        <v>296</v>
      </c>
      <c r="B30" t="s">
        <v>215</v>
      </c>
      <c r="C30" t="s">
        <v>238</v>
      </c>
      <c r="D30">
        <f>3</f>
        <v>3</v>
      </c>
      <c r="E30" t="s">
        <v>107</v>
      </c>
      <c r="F30" t="s">
        <v>237</v>
      </c>
      <c r="G30">
        <v>10</v>
      </c>
      <c r="H30" t="s">
        <v>203</v>
      </c>
      <c r="I30" t="s">
        <v>211</v>
      </c>
    </row>
    <row r="31" spans="1:9" x14ac:dyDescent="0.3">
      <c r="A31" t="s">
        <v>296</v>
      </c>
      <c r="B31" t="s">
        <v>239</v>
      </c>
      <c r="D31">
        <f>5</f>
        <v>5</v>
      </c>
      <c r="F31" t="s">
        <v>237</v>
      </c>
      <c r="G31">
        <v>10</v>
      </c>
      <c r="H31" t="s">
        <v>203</v>
      </c>
      <c r="I31" t="s">
        <v>211</v>
      </c>
    </row>
    <row r="32" spans="1:9" x14ac:dyDescent="0.3">
      <c r="A32" t="s">
        <v>296</v>
      </c>
      <c r="B32" t="s">
        <v>240</v>
      </c>
      <c r="C32" t="s">
        <v>241</v>
      </c>
      <c r="D32">
        <f>3</f>
        <v>3</v>
      </c>
      <c r="F32" t="s">
        <v>237</v>
      </c>
      <c r="G32">
        <v>10</v>
      </c>
      <c r="H32" t="s">
        <v>203</v>
      </c>
      <c r="I32" t="s">
        <v>211</v>
      </c>
    </row>
    <row r="33" spans="1:9" x14ac:dyDescent="0.3">
      <c r="A33" t="s">
        <v>296</v>
      </c>
      <c r="B33" t="s">
        <v>243</v>
      </c>
      <c r="D33" t="s">
        <v>297</v>
      </c>
      <c r="F33" t="s">
        <v>244</v>
      </c>
      <c r="G33">
        <v>11</v>
      </c>
      <c r="H33" t="s">
        <v>203</v>
      </c>
      <c r="I33" t="s">
        <v>242</v>
      </c>
    </row>
    <row r="34" spans="1:9" x14ac:dyDescent="0.3">
      <c r="A34" t="s">
        <v>296</v>
      </c>
      <c r="B34" t="s">
        <v>211</v>
      </c>
      <c r="C34" t="s">
        <v>203</v>
      </c>
      <c r="F34" t="s">
        <v>244</v>
      </c>
      <c r="G34">
        <v>11</v>
      </c>
      <c r="H34" t="s">
        <v>203</v>
      </c>
      <c r="I34" t="s">
        <v>242</v>
      </c>
    </row>
    <row r="35" spans="1:9" x14ac:dyDescent="0.3">
      <c r="A35" t="s">
        <v>296</v>
      </c>
      <c r="B35" t="s">
        <v>215</v>
      </c>
      <c r="C35" t="s">
        <v>245</v>
      </c>
      <c r="D35">
        <f>5</f>
        <v>5</v>
      </c>
      <c r="F35" t="s">
        <v>244</v>
      </c>
      <c r="G35">
        <v>11</v>
      </c>
      <c r="H35" t="s">
        <v>203</v>
      </c>
      <c r="I35" t="s">
        <v>242</v>
      </c>
    </row>
    <row r="36" spans="1:9" x14ac:dyDescent="0.3">
      <c r="A36" t="s">
        <v>296</v>
      </c>
      <c r="B36" t="s">
        <v>246</v>
      </c>
      <c r="C36" t="s">
        <v>247</v>
      </c>
      <c r="D36">
        <f>5</f>
        <v>5</v>
      </c>
      <c r="F36" t="s">
        <v>244</v>
      </c>
      <c r="G36">
        <v>11</v>
      </c>
      <c r="H36" t="s">
        <v>203</v>
      </c>
      <c r="I36" t="s">
        <v>242</v>
      </c>
    </row>
    <row r="37" spans="1:9" x14ac:dyDescent="0.3">
      <c r="A37" t="s">
        <v>296</v>
      </c>
      <c r="B37" t="s">
        <v>239</v>
      </c>
      <c r="D37">
        <f>17</f>
        <v>17</v>
      </c>
      <c r="F37" t="s">
        <v>244</v>
      </c>
      <c r="G37">
        <v>11</v>
      </c>
      <c r="H37" t="s">
        <v>203</v>
      </c>
      <c r="I37" t="s">
        <v>242</v>
      </c>
    </row>
    <row r="38" spans="1:9" x14ac:dyDescent="0.3">
      <c r="A38" t="s">
        <v>296</v>
      </c>
      <c r="B38" t="s">
        <v>240</v>
      </c>
      <c r="C38" t="s">
        <v>245</v>
      </c>
      <c r="D38">
        <f>5</f>
        <v>5</v>
      </c>
      <c r="F38" t="s">
        <v>244</v>
      </c>
      <c r="G38">
        <v>11</v>
      </c>
      <c r="H38" t="s">
        <v>203</v>
      </c>
      <c r="I38" t="s">
        <v>242</v>
      </c>
    </row>
    <row r="39" spans="1:9" x14ac:dyDescent="0.3">
      <c r="A39" t="s">
        <v>296</v>
      </c>
      <c r="B39" t="s">
        <v>212</v>
      </c>
      <c r="D39" t="s">
        <v>288</v>
      </c>
      <c r="F39" t="s">
        <v>248</v>
      </c>
      <c r="G39">
        <v>12</v>
      </c>
      <c r="H39" t="s">
        <v>203</v>
      </c>
      <c r="I39" t="s">
        <v>211</v>
      </c>
    </row>
    <row r="40" spans="1:9" x14ac:dyDescent="0.3">
      <c r="A40" t="s">
        <v>296</v>
      </c>
      <c r="B40" t="s">
        <v>215</v>
      </c>
      <c r="C40" t="s">
        <v>249</v>
      </c>
      <c r="D40">
        <v>2</v>
      </c>
      <c r="E40" t="s">
        <v>136</v>
      </c>
      <c r="F40" t="s">
        <v>248</v>
      </c>
      <c r="G40">
        <v>12</v>
      </c>
      <c r="H40" t="s">
        <v>203</v>
      </c>
      <c r="I40" t="s">
        <v>211</v>
      </c>
    </row>
    <row r="41" spans="1:9" x14ac:dyDescent="0.3">
      <c r="A41" t="s">
        <v>296</v>
      </c>
      <c r="B41" t="s">
        <v>240</v>
      </c>
      <c r="C41" t="s">
        <v>249</v>
      </c>
      <c r="D41">
        <v>1</v>
      </c>
      <c r="F41" t="s">
        <v>248</v>
      </c>
      <c r="G41">
        <v>12</v>
      </c>
      <c r="H41" t="s">
        <v>203</v>
      </c>
      <c r="I41" t="s">
        <v>211</v>
      </c>
    </row>
    <row r="42" spans="1:9" x14ac:dyDescent="0.3">
      <c r="A42" t="s">
        <v>298</v>
      </c>
      <c r="B42" t="s">
        <v>250</v>
      </c>
      <c r="D42">
        <v>1</v>
      </c>
      <c r="E42" t="s">
        <v>43</v>
      </c>
      <c r="F42" t="s">
        <v>248</v>
      </c>
      <c r="G42">
        <v>12</v>
      </c>
      <c r="H42" t="s">
        <v>203</v>
      </c>
      <c r="I42" t="s">
        <v>211</v>
      </c>
    </row>
    <row r="43" spans="1:9" x14ac:dyDescent="0.3">
      <c r="A43" t="s">
        <v>298</v>
      </c>
      <c r="B43" t="s">
        <v>251</v>
      </c>
      <c r="C43" t="s">
        <v>252</v>
      </c>
      <c r="D43">
        <v>1</v>
      </c>
      <c r="E43" t="s">
        <v>43</v>
      </c>
      <c r="F43" t="s">
        <v>248</v>
      </c>
      <c r="G43">
        <v>12</v>
      </c>
      <c r="H43" t="s">
        <v>203</v>
      </c>
      <c r="I43" t="s">
        <v>211</v>
      </c>
    </row>
    <row r="44" spans="1:9" x14ac:dyDescent="0.3">
      <c r="A44" t="s">
        <v>298</v>
      </c>
      <c r="B44" t="s">
        <v>253</v>
      </c>
      <c r="C44" t="s">
        <v>254</v>
      </c>
      <c r="D44">
        <v>1</v>
      </c>
      <c r="E44" t="s">
        <v>43</v>
      </c>
      <c r="F44" t="s">
        <v>248</v>
      </c>
      <c r="G44">
        <v>12</v>
      </c>
      <c r="H44" t="s">
        <v>203</v>
      </c>
      <c r="I44" t="s">
        <v>211</v>
      </c>
    </row>
    <row r="45" spans="1:9" x14ac:dyDescent="0.3">
      <c r="A45" t="s">
        <v>299</v>
      </c>
      <c r="B45" t="s">
        <v>212</v>
      </c>
      <c r="D45" t="s">
        <v>288</v>
      </c>
      <c r="F45" t="s">
        <v>248</v>
      </c>
      <c r="G45">
        <v>12</v>
      </c>
      <c r="H45" t="s">
        <v>203</v>
      </c>
      <c r="I45" t="s">
        <v>211</v>
      </c>
    </row>
    <row r="46" spans="1:9" x14ac:dyDescent="0.3">
      <c r="A46" t="s">
        <v>299</v>
      </c>
      <c r="B46" t="s">
        <v>215</v>
      </c>
      <c r="C46" t="s">
        <v>254</v>
      </c>
      <c r="D46" t="s">
        <v>288</v>
      </c>
      <c r="F46" t="s">
        <v>248</v>
      </c>
      <c r="G46">
        <v>12</v>
      </c>
      <c r="H46" t="s">
        <v>203</v>
      </c>
      <c r="I46" t="s">
        <v>211</v>
      </c>
    </row>
    <row r="47" spans="1:9" x14ac:dyDescent="0.3">
      <c r="A47" t="s">
        <v>287</v>
      </c>
      <c r="B47" t="s">
        <v>255</v>
      </c>
      <c r="C47" t="s">
        <v>252</v>
      </c>
      <c r="D47" t="s">
        <v>288</v>
      </c>
      <c r="F47" t="s">
        <v>248</v>
      </c>
      <c r="G47">
        <v>12</v>
      </c>
      <c r="H47" t="s">
        <v>203</v>
      </c>
      <c r="I47" t="s">
        <v>211</v>
      </c>
    </row>
    <row r="48" spans="1:9" x14ac:dyDescent="0.3">
      <c r="A48" t="s">
        <v>287</v>
      </c>
      <c r="B48" t="s">
        <v>256</v>
      </c>
      <c r="D48" t="s">
        <v>288</v>
      </c>
      <c r="F48" t="s">
        <v>248</v>
      </c>
      <c r="G48">
        <v>12</v>
      </c>
      <c r="H48" t="s">
        <v>203</v>
      </c>
      <c r="I48" t="s">
        <v>211</v>
      </c>
    </row>
    <row r="49" spans="1:9" x14ac:dyDescent="0.3">
      <c r="A49" t="s">
        <v>289</v>
      </c>
      <c r="B49" t="s">
        <v>212</v>
      </c>
      <c r="D49">
        <f>17</f>
        <v>17</v>
      </c>
      <c r="F49" t="s">
        <v>248</v>
      </c>
      <c r="G49">
        <v>12</v>
      </c>
      <c r="H49" t="s">
        <v>203</v>
      </c>
      <c r="I49" t="s">
        <v>211</v>
      </c>
    </row>
    <row r="50" spans="1:9" x14ac:dyDescent="0.3">
      <c r="A50" t="s">
        <v>289</v>
      </c>
      <c r="B50" t="s">
        <v>218</v>
      </c>
      <c r="C50" t="s">
        <v>235</v>
      </c>
      <c r="D50">
        <v>1</v>
      </c>
      <c r="E50" t="s">
        <v>43</v>
      </c>
      <c r="F50" t="s">
        <v>248</v>
      </c>
      <c r="G50">
        <v>12</v>
      </c>
      <c r="H50" t="s">
        <v>203</v>
      </c>
      <c r="I50" t="s">
        <v>211</v>
      </c>
    </row>
    <row r="51" spans="1:9" x14ac:dyDescent="0.3">
      <c r="A51" t="s">
        <v>289</v>
      </c>
      <c r="B51" t="s">
        <v>215</v>
      </c>
      <c r="C51" t="s">
        <v>257</v>
      </c>
      <c r="D51">
        <v>3</v>
      </c>
      <c r="E51" t="s">
        <v>107</v>
      </c>
      <c r="F51" t="s">
        <v>248</v>
      </c>
      <c r="G51">
        <v>12</v>
      </c>
      <c r="H51" t="s">
        <v>203</v>
      </c>
      <c r="I51" t="s">
        <v>211</v>
      </c>
    </row>
    <row r="52" spans="1:9" x14ac:dyDescent="0.3">
      <c r="A52" t="s">
        <v>300</v>
      </c>
      <c r="B52" t="s">
        <v>212</v>
      </c>
      <c r="D52">
        <f>8</f>
        <v>8</v>
      </c>
      <c r="F52" t="s">
        <v>258</v>
      </c>
      <c r="G52">
        <v>13</v>
      </c>
      <c r="H52" t="s">
        <v>203</v>
      </c>
      <c r="I52" t="s">
        <v>211</v>
      </c>
    </row>
    <row r="53" spans="1:9" x14ac:dyDescent="0.3">
      <c r="A53" t="s">
        <v>300</v>
      </c>
      <c r="B53" t="s">
        <v>215</v>
      </c>
      <c r="C53" t="s">
        <v>259</v>
      </c>
      <c r="D53" t="s">
        <v>288</v>
      </c>
      <c r="F53" t="s">
        <v>258</v>
      </c>
      <c r="G53">
        <v>13</v>
      </c>
      <c r="H53" t="s">
        <v>203</v>
      </c>
      <c r="I53" t="s">
        <v>211</v>
      </c>
    </row>
    <row r="54" spans="1:9" x14ac:dyDescent="0.3">
      <c r="A54" t="s">
        <v>296</v>
      </c>
      <c r="B54" t="s">
        <v>212</v>
      </c>
      <c r="D54">
        <f>8</f>
        <v>8</v>
      </c>
      <c r="F54" t="s">
        <v>260</v>
      </c>
      <c r="G54">
        <v>14</v>
      </c>
      <c r="H54" t="s">
        <v>203</v>
      </c>
      <c r="I54" t="s">
        <v>211</v>
      </c>
    </row>
    <row r="55" spans="1:9" x14ac:dyDescent="0.3">
      <c r="A55" t="s">
        <v>296</v>
      </c>
      <c r="B55" t="s">
        <v>215</v>
      </c>
      <c r="C55" t="s">
        <v>261</v>
      </c>
      <c r="D55">
        <f>5</f>
        <v>5</v>
      </c>
      <c r="F55" t="s">
        <v>260</v>
      </c>
      <c r="G55">
        <v>14</v>
      </c>
      <c r="H55" t="s">
        <v>203</v>
      </c>
      <c r="I55" t="s">
        <v>211</v>
      </c>
    </row>
    <row r="56" spans="1:9" x14ac:dyDescent="0.3">
      <c r="A56" t="s">
        <v>296</v>
      </c>
      <c r="B56" t="s">
        <v>239</v>
      </c>
      <c r="D56">
        <f>9</f>
        <v>9</v>
      </c>
      <c r="F56" t="s">
        <v>260</v>
      </c>
      <c r="G56">
        <v>14</v>
      </c>
      <c r="H56" t="s">
        <v>203</v>
      </c>
      <c r="I56" t="s">
        <v>211</v>
      </c>
    </row>
    <row r="57" spans="1:9" x14ac:dyDescent="0.3">
      <c r="A57" t="s">
        <v>296</v>
      </c>
      <c r="B57" t="s">
        <v>240</v>
      </c>
      <c r="C57" t="s">
        <v>261</v>
      </c>
      <c r="D57">
        <f>3</f>
        <v>3</v>
      </c>
      <c r="F57" t="s">
        <v>260</v>
      </c>
      <c r="G57">
        <v>14</v>
      </c>
      <c r="H57" t="s">
        <v>203</v>
      </c>
      <c r="I57" t="s">
        <v>211</v>
      </c>
    </row>
    <row r="58" spans="1:9" x14ac:dyDescent="0.3">
      <c r="A58" t="s">
        <v>292</v>
      </c>
      <c r="B58" t="s">
        <v>215</v>
      </c>
      <c r="C58" t="s">
        <v>234</v>
      </c>
      <c r="D58">
        <f>5</f>
        <v>5</v>
      </c>
      <c r="F58" t="s">
        <v>262</v>
      </c>
      <c r="G58">
        <v>15</v>
      </c>
      <c r="H58" t="s">
        <v>203</v>
      </c>
      <c r="I58" t="s">
        <v>230</v>
      </c>
    </row>
    <row r="59" spans="1:9" x14ac:dyDescent="0.3">
      <c r="A59" t="s">
        <v>290</v>
      </c>
      <c r="B59" t="s">
        <v>215</v>
      </c>
      <c r="C59" t="s">
        <v>234</v>
      </c>
      <c r="D59">
        <f>5</f>
        <v>5</v>
      </c>
      <c r="F59" t="s">
        <v>262</v>
      </c>
      <c r="G59">
        <v>15</v>
      </c>
      <c r="H59" t="s">
        <v>203</v>
      </c>
      <c r="I59" t="s">
        <v>230</v>
      </c>
    </row>
    <row r="60" spans="1:9" x14ac:dyDescent="0.3">
      <c r="A60" t="s">
        <v>293</v>
      </c>
      <c r="B60" t="s">
        <v>212</v>
      </c>
      <c r="D60">
        <f>9</f>
        <v>9</v>
      </c>
      <c r="F60" t="s">
        <v>262</v>
      </c>
      <c r="G60">
        <v>15</v>
      </c>
      <c r="H60" t="s">
        <v>203</v>
      </c>
      <c r="I60" t="s">
        <v>230</v>
      </c>
    </row>
    <row r="61" spans="1:9" x14ac:dyDescent="0.3">
      <c r="A61" t="s">
        <v>293</v>
      </c>
      <c r="B61" t="s">
        <v>215</v>
      </c>
      <c r="C61" t="s">
        <v>233</v>
      </c>
      <c r="D61">
        <f>5</f>
        <v>5</v>
      </c>
      <c r="F61" t="s">
        <v>262</v>
      </c>
      <c r="G61">
        <v>15</v>
      </c>
      <c r="H61" t="s">
        <v>203</v>
      </c>
      <c r="I61" t="s">
        <v>230</v>
      </c>
    </row>
    <row r="62" spans="1:9" x14ac:dyDescent="0.3">
      <c r="A62" t="s">
        <v>295</v>
      </c>
      <c r="B62" t="s">
        <v>212</v>
      </c>
      <c r="D62">
        <f>33</f>
        <v>33</v>
      </c>
      <c r="F62" t="s">
        <v>262</v>
      </c>
      <c r="G62">
        <v>15</v>
      </c>
      <c r="H62" t="s">
        <v>203</v>
      </c>
      <c r="I62" t="s">
        <v>230</v>
      </c>
    </row>
    <row r="63" spans="1:9" x14ac:dyDescent="0.3">
      <c r="A63" t="s">
        <v>296</v>
      </c>
      <c r="B63" t="s">
        <v>215</v>
      </c>
      <c r="C63" t="s">
        <v>260</v>
      </c>
      <c r="D63">
        <f>5</f>
        <v>5</v>
      </c>
      <c r="F63" t="s">
        <v>261</v>
      </c>
      <c r="G63">
        <v>16</v>
      </c>
      <c r="H63" t="s">
        <v>203</v>
      </c>
      <c r="I63" t="s">
        <v>211</v>
      </c>
    </row>
    <row r="64" spans="1:9" x14ac:dyDescent="0.3">
      <c r="A64" t="s">
        <v>296</v>
      </c>
      <c r="B64" t="s">
        <v>240</v>
      </c>
      <c r="C64" t="s">
        <v>260</v>
      </c>
      <c r="D64">
        <f>3</f>
        <v>3</v>
      </c>
      <c r="F64" t="s">
        <v>261</v>
      </c>
      <c r="G64">
        <v>16</v>
      </c>
      <c r="H64" t="s">
        <v>203</v>
      </c>
      <c r="I64" t="s">
        <v>211</v>
      </c>
    </row>
    <row r="65" spans="1:9" x14ac:dyDescent="0.3">
      <c r="A65" t="s">
        <v>301</v>
      </c>
      <c r="B65" t="s">
        <v>263</v>
      </c>
      <c r="D65">
        <f>5</f>
        <v>5</v>
      </c>
      <c r="F65" t="s">
        <v>264</v>
      </c>
      <c r="G65">
        <v>17</v>
      </c>
      <c r="H65" t="s">
        <v>203</v>
      </c>
      <c r="I65" t="s">
        <v>211</v>
      </c>
    </row>
    <row r="66" spans="1:9" x14ac:dyDescent="0.3">
      <c r="A66" t="s">
        <v>302</v>
      </c>
      <c r="B66" t="s">
        <v>212</v>
      </c>
      <c r="D66">
        <f>9</f>
        <v>9</v>
      </c>
      <c r="F66" t="s">
        <v>264</v>
      </c>
      <c r="G66">
        <v>17</v>
      </c>
      <c r="H66" t="s">
        <v>203</v>
      </c>
      <c r="I66" t="s">
        <v>211</v>
      </c>
    </row>
    <row r="67" spans="1:9" x14ac:dyDescent="0.3">
      <c r="A67" t="s">
        <v>302</v>
      </c>
      <c r="B67" t="s">
        <v>215</v>
      </c>
      <c r="C67" t="s">
        <v>265</v>
      </c>
      <c r="D67">
        <f>5</f>
        <v>5</v>
      </c>
      <c r="F67" t="s">
        <v>264</v>
      </c>
      <c r="G67">
        <v>17</v>
      </c>
      <c r="H67" t="s">
        <v>203</v>
      </c>
      <c r="I67" t="s">
        <v>211</v>
      </c>
    </row>
    <row r="68" spans="1:9" x14ac:dyDescent="0.3">
      <c r="A68" t="s">
        <v>292</v>
      </c>
      <c r="B68" t="s">
        <v>212</v>
      </c>
      <c r="D68">
        <f>17</f>
        <v>17</v>
      </c>
      <c r="F68" t="s">
        <v>264</v>
      </c>
      <c r="G68">
        <v>17</v>
      </c>
      <c r="H68" t="s">
        <v>203</v>
      </c>
      <c r="I68" t="s">
        <v>211</v>
      </c>
    </row>
    <row r="69" spans="1:9" x14ac:dyDescent="0.3">
      <c r="A69" t="s">
        <v>292</v>
      </c>
      <c r="B69" t="s">
        <v>215</v>
      </c>
      <c r="C69" t="s">
        <v>265</v>
      </c>
      <c r="D69">
        <f>9</f>
        <v>9</v>
      </c>
      <c r="F69" t="s">
        <v>264</v>
      </c>
      <c r="G69">
        <v>17</v>
      </c>
      <c r="H69" t="s">
        <v>203</v>
      </c>
      <c r="I69" t="s">
        <v>211</v>
      </c>
    </row>
    <row r="70" spans="1:9" x14ac:dyDescent="0.3">
      <c r="A70" t="s">
        <v>302</v>
      </c>
      <c r="B70" t="s">
        <v>212</v>
      </c>
      <c r="D70">
        <f>33</f>
        <v>33</v>
      </c>
      <c r="F70" t="s">
        <v>234</v>
      </c>
      <c r="G70">
        <v>18</v>
      </c>
      <c r="H70" t="s">
        <v>203</v>
      </c>
      <c r="I70" t="s">
        <v>230</v>
      </c>
    </row>
    <row r="71" spans="1:9" x14ac:dyDescent="0.3">
      <c r="A71" t="s">
        <v>302</v>
      </c>
      <c r="B71" t="s">
        <v>215</v>
      </c>
      <c r="C71" t="s">
        <v>266</v>
      </c>
      <c r="D71">
        <f>17</f>
        <v>17</v>
      </c>
      <c r="F71" t="s">
        <v>234</v>
      </c>
      <c r="G71">
        <v>18</v>
      </c>
      <c r="H71" t="s">
        <v>203</v>
      </c>
      <c r="I71" t="s">
        <v>230</v>
      </c>
    </row>
    <row r="72" spans="1:9" x14ac:dyDescent="0.3">
      <c r="A72" t="s">
        <v>292</v>
      </c>
      <c r="B72" t="s">
        <v>212</v>
      </c>
      <c r="D72">
        <v>2</v>
      </c>
      <c r="E72" t="s">
        <v>136</v>
      </c>
      <c r="F72" t="s">
        <v>234</v>
      </c>
      <c r="G72">
        <v>18</v>
      </c>
      <c r="H72" t="s">
        <v>203</v>
      </c>
      <c r="I72" t="s">
        <v>230</v>
      </c>
    </row>
    <row r="73" spans="1:9" x14ac:dyDescent="0.3">
      <c r="A73" t="s">
        <v>292</v>
      </c>
      <c r="B73" t="s">
        <v>215</v>
      </c>
      <c r="C73" t="s">
        <v>262</v>
      </c>
      <c r="D73">
        <f>5</f>
        <v>5</v>
      </c>
      <c r="F73" t="s">
        <v>234</v>
      </c>
      <c r="G73">
        <v>18</v>
      </c>
      <c r="H73" t="s">
        <v>203</v>
      </c>
      <c r="I73" t="s">
        <v>230</v>
      </c>
    </row>
    <row r="74" spans="1:9" x14ac:dyDescent="0.3">
      <c r="A74" t="s">
        <v>290</v>
      </c>
      <c r="B74" t="s">
        <v>212</v>
      </c>
      <c r="D74">
        <f>17</f>
        <v>17</v>
      </c>
      <c r="F74" t="s">
        <v>234</v>
      </c>
      <c r="G74">
        <v>18</v>
      </c>
      <c r="H74" t="s">
        <v>203</v>
      </c>
      <c r="I74" t="s">
        <v>230</v>
      </c>
    </row>
    <row r="75" spans="1:9" x14ac:dyDescent="0.3">
      <c r="A75" t="s">
        <v>290</v>
      </c>
      <c r="B75" t="s">
        <v>215</v>
      </c>
      <c r="C75" t="s">
        <v>262</v>
      </c>
      <c r="D75">
        <f>5</f>
        <v>5</v>
      </c>
      <c r="F75" t="s">
        <v>234</v>
      </c>
      <c r="G75">
        <v>18</v>
      </c>
      <c r="H75" t="s">
        <v>203</v>
      </c>
      <c r="I75" t="s">
        <v>230</v>
      </c>
    </row>
    <row r="76" spans="1:9" x14ac:dyDescent="0.3">
      <c r="A76" t="s">
        <v>293</v>
      </c>
      <c r="B76" t="s">
        <v>212</v>
      </c>
      <c r="D76">
        <f>17</f>
        <v>17</v>
      </c>
      <c r="F76" t="s">
        <v>234</v>
      </c>
      <c r="G76">
        <v>18</v>
      </c>
      <c r="H76" t="s">
        <v>203</v>
      </c>
      <c r="I76" t="s">
        <v>230</v>
      </c>
    </row>
    <row r="77" spans="1:9" x14ac:dyDescent="0.3">
      <c r="A77" t="s">
        <v>293</v>
      </c>
      <c r="B77" t="s">
        <v>215</v>
      </c>
      <c r="C77" t="s">
        <v>232</v>
      </c>
      <c r="D77">
        <v>3</v>
      </c>
      <c r="E77" t="s">
        <v>107</v>
      </c>
      <c r="F77" t="s">
        <v>234</v>
      </c>
      <c r="G77">
        <v>18</v>
      </c>
      <c r="H77" t="s">
        <v>203</v>
      </c>
      <c r="I77" t="s">
        <v>230</v>
      </c>
    </row>
    <row r="78" spans="1:9" x14ac:dyDescent="0.3">
      <c r="A78" t="s">
        <v>296</v>
      </c>
      <c r="B78" t="s">
        <v>246</v>
      </c>
      <c r="C78" t="s">
        <v>267</v>
      </c>
      <c r="D78">
        <v>2</v>
      </c>
      <c r="F78" t="s">
        <v>254</v>
      </c>
      <c r="G78">
        <v>19</v>
      </c>
      <c r="H78" t="s">
        <v>203</v>
      </c>
      <c r="I78" t="s">
        <v>211</v>
      </c>
    </row>
    <row r="79" spans="1:9" x14ac:dyDescent="0.3">
      <c r="A79" t="s">
        <v>296</v>
      </c>
      <c r="B79" t="s">
        <v>239</v>
      </c>
      <c r="D79">
        <f>9</f>
        <v>9</v>
      </c>
      <c r="F79" t="s">
        <v>254</v>
      </c>
      <c r="G79">
        <v>19</v>
      </c>
      <c r="H79" t="s">
        <v>203</v>
      </c>
      <c r="I79" t="s">
        <v>211</v>
      </c>
    </row>
    <row r="80" spans="1:9" x14ac:dyDescent="0.3">
      <c r="A80" t="s">
        <v>296</v>
      </c>
      <c r="B80" t="s">
        <v>240</v>
      </c>
      <c r="C80" t="s">
        <v>268</v>
      </c>
      <c r="D80">
        <v>2</v>
      </c>
      <c r="F80" t="s">
        <v>254</v>
      </c>
      <c r="G80">
        <v>19</v>
      </c>
      <c r="H80" t="s">
        <v>203</v>
      </c>
      <c r="I80" t="s">
        <v>211</v>
      </c>
    </row>
    <row r="81" spans="1:9" x14ac:dyDescent="0.3">
      <c r="A81" t="s">
        <v>298</v>
      </c>
      <c r="B81" t="s">
        <v>250</v>
      </c>
      <c r="D81">
        <v>2</v>
      </c>
      <c r="E81" t="s">
        <v>136</v>
      </c>
      <c r="F81" t="s">
        <v>254</v>
      </c>
      <c r="G81">
        <v>19</v>
      </c>
      <c r="H81" t="s">
        <v>203</v>
      </c>
      <c r="I81" t="s">
        <v>211</v>
      </c>
    </row>
    <row r="82" spans="1:9" x14ac:dyDescent="0.3">
      <c r="A82" t="s">
        <v>298</v>
      </c>
      <c r="B82" t="s">
        <v>253</v>
      </c>
      <c r="C82" t="s">
        <v>248</v>
      </c>
      <c r="D82">
        <v>1</v>
      </c>
      <c r="E82" t="s">
        <v>43</v>
      </c>
      <c r="F82" t="s">
        <v>254</v>
      </c>
      <c r="G82">
        <v>19</v>
      </c>
      <c r="H82" t="s">
        <v>203</v>
      </c>
      <c r="I82" t="s">
        <v>211</v>
      </c>
    </row>
    <row r="83" spans="1:9" x14ac:dyDescent="0.3">
      <c r="A83" t="s">
        <v>299</v>
      </c>
      <c r="B83" t="s">
        <v>212</v>
      </c>
      <c r="D83">
        <f>5</f>
        <v>5</v>
      </c>
      <c r="F83" t="s">
        <v>254</v>
      </c>
      <c r="G83">
        <v>19</v>
      </c>
      <c r="H83" t="s">
        <v>203</v>
      </c>
      <c r="I83" t="s">
        <v>211</v>
      </c>
    </row>
    <row r="84" spans="1:9" x14ac:dyDescent="0.3">
      <c r="A84" t="s">
        <v>299</v>
      </c>
      <c r="B84" t="s">
        <v>215</v>
      </c>
      <c r="C84" t="s">
        <v>248</v>
      </c>
      <c r="D84" t="s">
        <v>288</v>
      </c>
      <c r="F84" t="s">
        <v>254</v>
      </c>
      <c r="G84">
        <v>19</v>
      </c>
      <c r="H84" t="s">
        <v>203</v>
      </c>
      <c r="I84" t="s">
        <v>211</v>
      </c>
    </row>
    <row r="85" spans="1:9" x14ac:dyDescent="0.3">
      <c r="A85" t="s">
        <v>287</v>
      </c>
      <c r="B85" t="s">
        <v>256</v>
      </c>
      <c r="D85">
        <f>9</f>
        <v>9</v>
      </c>
      <c r="F85" t="s">
        <v>254</v>
      </c>
      <c r="G85">
        <v>19</v>
      </c>
      <c r="H85" t="s">
        <v>203</v>
      </c>
      <c r="I85" t="s">
        <v>211</v>
      </c>
    </row>
    <row r="86" spans="1:9" x14ac:dyDescent="0.3">
      <c r="A86" t="s">
        <v>287</v>
      </c>
      <c r="B86" t="s">
        <v>269</v>
      </c>
      <c r="C86" t="s">
        <v>270</v>
      </c>
      <c r="D86">
        <v>1</v>
      </c>
      <c r="E86" t="s">
        <v>43</v>
      </c>
      <c r="F86" t="s">
        <v>254</v>
      </c>
      <c r="G86">
        <v>19</v>
      </c>
      <c r="H86" t="s">
        <v>203</v>
      </c>
      <c r="I86" t="s">
        <v>211</v>
      </c>
    </row>
    <row r="87" spans="1:9" x14ac:dyDescent="0.3">
      <c r="A87" t="s">
        <v>287</v>
      </c>
      <c r="B87" t="s">
        <v>256</v>
      </c>
      <c r="D87">
        <v>1</v>
      </c>
      <c r="E87" t="s">
        <v>43</v>
      </c>
      <c r="F87" t="s">
        <v>270</v>
      </c>
      <c r="G87">
        <v>20</v>
      </c>
      <c r="H87" t="s">
        <v>203</v>
      </c>
      <c r="I87" t="s">
        <v>211</v>
      </c>
    </row>
    <row r="88" spans="1:9" x14ac:dyDescent="0.3">
      <c r="A88" t="s">
        <v>287</v>
      </c>
      <c r="B88" t="s">
        <v>269</v>
      </c>
      <c r="C88" t="s">
        <v>254</v>
      </c>
      <c r="D88">
        <v>1</v>
      </c>
      <c r="E88" t="s">
        <v>43</v>
      </c>
      <c r="F88" t="s">
        <v>270</v>
      </c>
      <c r="G88">
        <v>20</v>
      </c>
      <c r="H88" t="s">
        <v>203</v>
      </c>
      <c r="I88" t="s">
        <v>211</v>
      </c>
    </row>
    <row r="89" spans="1:9" x14ac:dyDescent="0.3">
      <c r="A89" t="s">
        <v>289</v>
      </c>
      <c r="B89" t="s">
        <v>218</v>
      </c>
      <c r="C89" t="s">
        <v>272</v>
      </c>
      <c r="D89">
        <f>8</f>
        <v>8</v>
      </c>
      <c r="F89" t="s">
        <v>271</v>
      </c>
      <c r="G89">
        <v>21</v>
      </c>
      <c r="H89" t="s">
        <v>203</v>
      </c>
      <c r="I89" t="s">
        <v>211</v>
      </c>
    </row>
    <row r="90" spans="1:9" x14ac:dyDescent="0.3">
      <c r="A90" t="s">
        <v>291</v>
      </c>
      <c r="B90" t="s">
        <v>212</v>
      </c>
      <c r="D90">
        <f>5</f>
        <v>5</v>
      </c>
      <c r="F90" t="s">
        <v>225</v>
      </c>
      <c r="G90">
        <v>22</v>
      </c>
      <c r="H90" t="s">
        <v>203</v>
      </c>
      <c r="I90" t="s">
        <v>211</v>
      </c>
    </row>
    <row r="91" spans="1:9" x14ac:dyDescent="0.3">
      <c r="A91" t="s">
        <v>291</v>
      </c>
      <c r="B91" t="s">
        <v>215</v>
      </c>
      <c r="C91" t="s">
        <v>223</v>
      </c>
      <c r="D91">
        <v>3</v>
      </c>
      <c r="E91" t="s">
        <v>107</v>
      </c>
      <c r="F91" t="s">
        <v>225</v>
      </c>
      <c r="G91">
        <v>22</v>
      </c>
      <c r="H91" t="s">
        <v>203</v>
      </c>
      <c r="I91" t="s">
        <v>211</v>
      </c>
    </row>
    <row r="92" spans="1:9" x14ac:dyDescent="0.3">
      <c r="A92" t="s">
        <v>287</v>
      </c>
      <c r="B92" t="s">
        <v>212</v>
      </c>
      <c r="D92" t="s">
        <v>288</v>
      </c>
      <c r="F92" t="s">
        <v>273</v>
      </c>
      <c r="G92">
        <v>23</v>
      </c>
      <c r="H92" t="s">
        <v>203</v>
      </c>
      <c r="I92" t="s">
        <v>211</v>
      </c>
    </row>
    <row r="93" spans="1:9" x14ac:dyDescent="0.3">
      <c r="A93" t="s">
        <v>287</v>
      </c>
      <c r="B93" t="s">
        <v>215</v>
      </c>
      <c r="C93" t="s">
        <v>274</v>
      </c>
      <c r="D93" t="s">
        <v>288</v>
      </c>
      <c r="F93" t="s">
        <v>273</v>
      </c>
      <c r="G93">
        <v>23</v>
      </c>
      <c r="H93" t="s">
        <v>203</v>
      </c>
      <c r="I93" t="s">
        <v>211</v>
      </c>
    </row>
    <row r="94" spans="1:9" x14ac:dyDescent="0.3">
      <c r="A94" t="s">
        <v>289</v>
      </c>
      <c r="B94" t="s">
        <v>215</v>
      </c>
      <c r="C94" t="s">
        <v>274</v>
      </c>
      <c r="D94">
        <f>9</f>
        <v>9</v>
      </c>
      <c r="F94" t="s">
        <v>273</v>
      </c>
      <c r="G94">
        <v>23</v>
      </c>
      <c r="H94" t="s">
        <v>203</v>
      </c>
      <c r="I94" t="s">
        <v>211</v>
      </c>
    </row>
    <row r="95" spans="1:9" x14ac:dyDescent="0.3">
      <c r="A95" t="s">
        <v>296</v>
      </c>
      <c r="B95" t="s">
        <v>212</v>
      </c>
      <c r="D95">
        <f>8</f>
        <v>8</v>
      </c>
      <c r="F95" t="s">
        <v>275</v>
      </c>
      <c r="G95">
        <v>24</v>
      </c>
      <c r="H95" t="s">
        <v>203</v>
      </c>
      <c r="I95" t="s">
        <v>211</v>
      </c>
    </row>
    <row r="96" spans="1:9" x14ac:dyDescent="0.3">
      <c r="A96" t="s">
        <v>296</v>
      </c>
      <c r="B96" t="s">
        <v>215</v>
      </c>
      <c r="C96" t="s">
        <v>276</v>
      </c>
      <c r="D96">
        <f>5</f>
        <v>5</v>
      </c>
      <c r="F96" t="s">
        <v>275</v>
      </c>
      <c r="G96">
        <v>24</v>
      </c>
      <c r="H96" t="s">
        <v>203</v>
      </c>
      <c r="I96" t="s">
        <v>211</v>
      </c>
    </row>
    <row r="97" spans="1:9" x14ac:dyDescent="0.3">
      <c r="A97" t="s">
        <v>296</v>
      </c>
      <c r="B97" t="s">
        <v>239</v>
      </c>
      <c r="D97">
        <f>9</f>
        <v>9</v>
      </c>
      <c r="F97" t="s">
        <v>275</v>
      </c>
      <c r="G97">
        <v>24</v>
      </c>
      <c r="H97" t="s">
        <v>203</v>
      </c>
      <c r="I97" t="s">
        <v>211</v>
      </c>
    </row>
    <row r="98" spans="1:9" x14ac:dyDescent="0.3">
      <c r="A98" t="s">
        <v>296</v>
      </c>
      <c r="B98" t="s">
        <v>240</v>
      </c>
      <c r="C98" t="s">
        <v>276</v>
      </c>
      <c r="D98">
        <f>3</f>
        <v>3</v>
      </c>
      <c r="F98" t="s">
        <v>275</v>
      </c>
      <c r="G98">
        <v>24</v>
      </c>
      <c r="H98" t="s">
        <v>203</v>
      </c>
      <c r="I98" t="s">
        <v>211</v>
      </c>
    </row>
    <row r="99" spans="1:9" x14ac:dyDescent="0.3">
      <c r="A99" t="s">
        <v>296</v>
      </c>
      <c r="B99" t="s">
        <v>212</v>
      </c>
      <c r="D99">
        <f>5</f>
        <v>5</v>
      </c>
      <c r="F99" t="s">
        <v>276</v>
      </c>
      <c r="G99">
        <v>25</v>
      </c>
      <c r="H99" t="s">
        <v>203</v>
      </c>
      <c r="I99" t="s">
        <v>211</v>
      </c>
    </row>
    <row r="100" spans="1:9" x14ac:dyDescent="0.3">
      <c r="A100" t="s">
        <v>296</v>
      </c>
      <c r="B100" t="s">
        <v>215</v>
      </c>
      <c r="C100" t="s">
        <v>275</v>
      </c>
      <c r="D100">
        <f>5</f>
        <v>5</v>
      </c>
      <c r="F100" t="s">
        <v>276</v>
      </c>
      <c r="G100">
        <v>25</v>
      </c>
      <c r="H100" t="s">
        <v>203</v>
      </c>
      <c r="I100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1627-4122-4DF1-81AF-8B200ACF079B}">
  <dimension ref="A1:O100"/>
  <sheetViews>
    <sheetView workbookViewId="0">
      <selection sqref="A1:O100"/>
    </sheetView>
  </sheetViews>
  <sheetFormatPr baseColWidth="10" defaultRowHeight="14.4" x14ac:dyDescent="0.3"/>
  <sheetData>
    <row r="1" spans="1:15" x14ac:dyDescent="0.3">
      <c r="A1" t="s">
        <v>303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279</v>
      </c>
      <c r="H1" t="s">
        <v>283</v>
      </c>
      <c r="I1" t="s">
        <v>277</v>
      </c>
      <c r="J1" t="s">
        <v>309</v>
      </c>
      <c r="K1" t="s">
        <v>310</v>
      </c>
      <c r="L1" t="s">
        <v>311</v>
      </c>
      <c r="M1" t="s">
        <v>312</v>
      </c>
      <c r="N1" t="s">
        <v>278</v>
      </c>
      <c r="O1" t="s">
        <v>281</v>
      </c>
    </row>
    <row r="2" spans="1:15" x14ac:dyDescent="0.3">
      <c r="A2">
        <v>1</v>
      </c>
      <c r="B2" t="s">
        <v>15</v>
      </c>
      <c r="C2" t="s">
        <v>16</v>
      </c>
      <c r="D2">
        <v>24</v>
      </c>
      <c r="E2">
        <v>180</v>
      </c>
      <c r="F2">
        <v>80</v>
      </c>
      <c r="G2" t="s">
        <v>17</v>
      </c>
      <c r="H2" t="s">
        <v>18</v>
      </c>
      <c r="I2" t="s">
        <v>19</v>
      </c>
      <c r="J2">
        <v>1992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">
      <c r="A3">
        <v>2</v>
      </c>
      <c r="B3" t="s">
        <v>25</v>
      </c>
      <c r="C3" t="s">
        <v>16</v>
      </c>
      <c r="D3">
        <v>23</v>
      </c>
      <c r="E3">
        <v>170</v>
      </c>
      <c r="F3">
        <v>60</v>
      </c>
      <c r="G3" t="s">
        <v>17</v>
      </c>
      <c r="H3" t="s">
        <v>18</v>
      </c>
      <c r="I3" t="s">
        <v>26</v>
      </c>
      <c r="J3">
        <v>2012</v>
      </c>
      <c r="K3" t="s">
        <v>20</v>
      </c>
      <c r="L3" t="s">
        <v>27</v>
      </c>
      <c r="M3" t="s">
        <v>28</v>
      </c>
      <c r="N3" t="s">
        <v>29</v>
      </c>
      <c r="O3" t="s">
        <v>24</v>
      </c>
    </row>
    <row r="4" spans="1:15" x14ac:dyDescent="0.3">
      <c r="A4">
        <v>3</v>
      </c>
      <c r="B4" t="s">
        <v>30</v>
      </c>
      <c r="C4" t="s">
        <v>16</v>
      </c>
      <c r="D4">
        <v>24</v>
      </c>
      <c r="E4" t="s">
        <v>24</v>
      </c>
      <c r="F4" t="s">
        <v>24</v>
      </c>
      <c r="G4" t="s">
        <v>31</v>
      </c>
      <c r="H4" t="s">
        <v>32</v>
      </c>
      <c r="I4" t="s">
        <v>33</v>
      </c>
      <c r="J4">
        <v>1920</v>
      </c>
      <c r="K4" t="s">
        <v>20</v>
      </c>
      <c r="L4" t="s">
        <v>34</v>
      </c>
      <c r="M4" t="s">
        <v>35</v>
      </c>
      <c r="N4" t="s">
        <v>36</v>
      </c>
      <c r="O4" t="s">
        <v>24</v>
      </c>
    </row>
    <row r="5" spans="1:15" x14ac:dyDescent="0.3">
      <c r="A5">
        <v>4</v>
      </c>
      <c r="B5" t="s">
        <v>37</v>
      </c>
      <c r="C5" t="s">
        <v>16</v>
      </c>
      <c r="D5">
        <v>34</v>
      </c>
      <c r="E5" t="s">
        <v>24</v>
      </c>
      <c r="F5" t="s">
        <v>24</v>
      </c>
      <c r="G5" t="s">
        <v>38</v>
      </c>
      <c r="H5" t="s">
        <v>32</v>
      </c>
      <c r="I5" t="s">
        <v>39</v>
      </c>
      <c r="J5">
        <v>1900</v>
      </c>
      <c r="K5" t="s">
        <v>20</v>
      </c>
      <c r="L5" t="s">
        <v>40</v>
      </c>
      <c r="M5" t="s">
        <v>41</v>
      </c>
      <c r="N5" t="s">
        <v>42</v>
      </c>
      <c r="O5" t="s">
        <v>43</v>
      </c>
    </row>
    <row r="6" spans="1:15" x14ac:dyDescent="0.3">
      <c r="A6">
        <v>5</v>
      </c>
      <c r="B6" t="s">
        <v>44</v>
      </c>
      <c r="C6" t="s">
        <v>45</v>
      </c>
      <c r="D6">
        <v>21</v>
      </c>
      <c r="E6">
        <v>185</v>
      </c>
      <c r="F6">
        <v>82</v>
      </c>
      <c r="G6" t="s">
        <v>46</v>
      </c>
      <c r="H6" t="s">
        <v>47</v>
      </c>
      <c r="I6" t="s">
        <v>48</v>
      </c>
      <c r="J6">
        <v>1988</v>
      </c>
      <c r="K6" t="s">
        <v>49</v>
      </c>
      <c r="L6" t="s">
        <v>50</v>
      </c>
      <c r="M6" t="s">
        <v>51</v>
      </c>
      <c r="N6" t="s">
        <v>52</v>
      </c>
      <c r="O6" t="s">
        <v>24</v>
      </c>
    </row>
    <row r="7" spans="1:15" x14ac:dyDescent="0.3">
      <c r="A7">
        <v>5</v>
      </c>
      <c r="B7" t="s">
        <v>44</v>
      </c>
      <c r="C7" t="s">
        <v>45</v>
      </c>
      <c r="D7">
        <v>21</v>
      </c>
      <c r="E7">
        <v>185</v>
      </c>
      <c r="F7">
        <v>82</v>
      </c>
      <c r="G7" t="s">
        <v>46</v>
      </c>
      <c r="H7" t="s">
        <v>47</v>
      </c>
      <c r="I7" t="s">
        <v>48</v>
      </c>
      <c r="J7">
        <v>1988</v>
      </c>
      <c r="K7" t="s">
        <v>49</v>
      </c>
      <c r="L7" t="s">
        <v>50</v>
      </c>
      <c r="M7" t="s">
        <v>51</v>
      </c>
      <c r="N7" t="s">
        <v>53</v>
      </c>
      <c r="O7" t="s">
        <v>24</v>
      </c>
    </row>
    <row r="8" spans="1:15" x14ac:dyDescent="0.3">
      <c r="A8">
        <v>5</v>
      </c>
      <c r="B8" t="s">
        <v>44</v>
      </c>
      <c r="C8" t="s">
        <v>45</v>
      </c>
      <c r="D8">
        <v>25</v>
      </c>
      <c r="E8">
        <v>185</v>
      </c>
      <c r="F8">
        <v>82</v>
      </c>
      <c r="G8" t="s">
        <v>46</v>
      </c>
      <c r="H8" t="s">
        <v>47</v>
      </c>
      <c r="I8" t="s">
        <v>54</v>
      </c>
      <c r="J8">
        <v>1992</v>
      </c>
      <c r="K8" t="s">
        <v>49</v>
      </c>
      <c r="L8" t="s">
        <v>55</v>
      </c>
      <c r="M8" t="s">
        <v>51</v>
      </c>
      <c r="N8" t="s">
        <v>52</v>
      </c>
      <c r="O8" t="s">
        <v>24</v>
      </c>
    </row>
    <row r="9" spans="1:15" x14ac:dyDescent="0.3">
      <c r="A9">
        <v>5</v>
      </c>
      <c r="B9" t="s">
        <v>44</v>
      </c>
      <c r="C9" t="s">
        <v>45</v>
      </c>
      <c r="D9">
        <v>25</v>
      </c>
      <c r="E9">
        <v>185</v>
      </c>
      <c r="F9">
        <v>82</v>
      </c>
      <c r="G9" t="s">
        <v>46</v>
      </c>
      <c r="H9" t="s">
        <v>47</v>
      </c>
      <c r="I9" t="s">
        <v>54</v>
      </c>
      <c r="J9">
        <v>1992</v>
      </c>
      <c r="K9" t="s">
        <v>49</v>
      </c>
      <c r="L9" t="s">
        <v>55</v>
      </c>
      <c r="M9" t="s">
        <v>51</v>
      </c>
      <c r="N9" t="s">
        <v>53</v>
      </c>
      <c r="O9" t="s">
        <v>24</v>
      </c>
    </row>
    <row r="10" spans="1:15" x14ac:dyDescent="0.3">
      <c r="A10">
        <v>5</v>
      </c>
      <c r="B10" t="s">
        <v>44</v>
      </c>
      <c r="C10" t="s">
        <v>45</v>
      </c>
      <c r="D10">
        <v>27</v>
      </c>
      <c r="E10">
        <v>185</v>
      </c>
      <c r="F10">
        <v>82</v>
      </c>
      <c r="G10" t="s">
        <v>46</v>
      </c>
      <c r="H10" t="s">
        <v>47</v>
      </c>
      <c r="I10" t="s">
        <v>56</v>
      </c>
      <c r="J10">
        <v>1994</v>
      </c>
      <c r="K10" t="s">
        <v>49</v>
      </c>
      <c r="L10" t="s">
        <v>57</v>
      </c>
      <c r="M10" t="s">
        <v>51</v>
      </c>
      <c r="N10" t="s">
        <v>52</v>
      </c>
      <c r="O10" t="s">
        <v>24</v>
      </c>
    </row>
    <row r="11" spans="1:15" x14ac:dyDescent="0.3">
      <c r="A11">
        <v>5</v>
      </c>
      <c r="B11" t="s">
        <v>44</v>
      </c>
      <c r="C11" t="s">
        <v>45</v>
      </c>
      <c r="D11">
        <v>27</v>
      </c>
      <c r="E11">
        <v>185</v>
      </c>
      <c r="F11">
        <v>82</v>
      </c>
      <c r="G11" t="s">
        <v>46</v>
      </c>
      <c r="H11" t="s">
        <v>47</v>
      </c>
      <c r="I11" t="s">
        <v>56</v>
      </c>
      <c r="J11">
        <v>1994</v>
      </c>
      <c r="K11" t="s">
        <v>49</v>
      </c>
      <c r="L11" t="s">
        <v>57</v>
      </c>
      <c r="M11" t="s">
        <v>51</v>
      </c>
      <c r="N11" t="s">
        <v>53</v>
      </c>
      <c r="O11" t="s">
        <v>24</v>
      </c>
    </row>
    <row r="12" spans="1:15" x14ac:dyDescent="0.3">
      <c r="A12">
        <v>6</v>
      </c>
      <c r="B12" t="s">
        <v>58</v>
      </c>
      <c r="C12" t="s">
        <v>16</v>
      </c>
      <c r="D12">
        <v>31</v>
      </c>
      <c r="E12">
        <v>188</v>
      </c>
      <c r="F12">
        <v>75</v>
      </c>
      <c r="G12" t="s">
        <v>59</v>
      </c>
      <c r="H12" t="s">
        <v>60</v>
      </c>
      <c r="I12" t="s">
        <v>54</v>
      </c>
      <c r="J12">
        <v>1992</v>
      </c>
      <c r="K12" t="s">
        <v>49</v>
      </c>
      <c r="L12" t="s">
        <v>55</v>
      </c>
      <c r="M12" t="s">
        <v>61</v>
      </c>
      <c r="N12" t="s">
        <v>62</v>
      </c>
      <c r="O12" t="s">
        <v>24</v>
      </c>
    </row>
    <row r="13" spans="1:15" x14ac:dyDescent="0.3">
      <c r="A13">
        <v>6</v>
      </c>
      <c r="B13" t="s">
        <v>58</v>
      </c>
      <c r="C13" t="s">
        <v>16</v>
      </c>
      <c r="D13">
        <v>31</v>
      </c>
      <c r="E13">
        <v>188</v>
      </c>
      <c r="F13">
        <v>75</v>
      </c>
      <c r="G13" t="s">
        <v>59</v>
      </c>
      <c r="H13" t="s">
        <v>60</v>
      </c>
      <c r="I13" t="s">
        <v>54</v>
      </c>
      <c r="J13">
        <v>1992</v>
      </c>
      <c r="K13" t="s">
        <v>49</v>
      </c>
      <c r="L13" t="s">
        <v>55</v>
      </c>
      <c r="M13" t="s">
        <v>61</v>
      </c>
      <c r="N13" t="s">
        <v>63</v>
      </c>
      <c r="O13" t="s">
        <v>24</v>
      </c>
    </row>
    <row r="14" spans="1:15" x14ac:dyDescent="0.3">
      <c r="A14">
        <v>6</v>
      </c>
      <c r="B14" t="s">
        <v>58</v>
      </c>
      <c r="C14" t="s">
        <v>16</v>
      </c>
      <c r="D14">
        <v>31</v>
      </c>
      <c r="E14">
        <v>188</v>
      </c>
      <c r="F14">
        <v>75</v>
      </c>
      <c r="G14" t="s">
        <v>59</v>
      </c>
      <c r="H14" t="s">
        <v>60</v>
      </c>
      <c r="I14" t="s">
        <v>54</v>
      </c>
      <c r="J14">
        <v>1992</v>
      </c>
      <c r="K14" t="s">
        <v>49</v>
      </c>
      <c r="L14" t="s">
        <v>55</v>
      </c>
      <c r="M14" t="s">
        <v>61</v>
      </c>
      <c r="N14" t="s">
        <v>64</v>
      </c>
      <c r="O14" t="s">
        <v>24</v>
      </c>
    </row>
    <row r="15" spans="1:15" x14ac:dyDescent="0.3">
      <c r="A15">
        <v>6</v>
      </c>
      <c r="B15" t="s">
        <v>58</v>
      </c>
      <c r="C15" t="s">
        <v>16</v>
      </c>
      <c r="D15">
        <v>31</v>
      </c>
      <c r="E15">
        <v>188</v>
      </c>
      <c r="F15">
        <v>75</v>
      </c>
      <c r="G15" t="s">
        <v>59</v>
      </c>
      <c r="H15" t="s">
        <v>60</v>
      </c>
      <c r="I15" t="s">
        <v>54</v>
      </c>
      <c r="J15">
        <v>1992</v>
      </c>
      <c r="K15" t="s">
        <v>49</v>
      </c>
      <c r="L15" t="s">
        <v>55</v>
      </c>
      <c r="M15" t="s">
        <v>61</v>
      </c>
      <c r="N15" t="s">
        <v>65</v>
      </c>
      <c r="O15" t="s">
        <v>24</v>
      </c>
    </row>
    <row r="16" spans="1:15" x14ac:dyDescent="0.3">
      <c r="A16">
        <v>6</v>
      </c>
      <c r="B16" t="s">
        <v>58</v>
      </c>
      <c r="C16" t="s">
        <v>16</v>
      </c>
      <c r="D16">
        <v>33</v>
      </c>
      <c r="E16">
        <v>188</v>
      </c>
      <c r="F16">
        <v>75</v>
      </c>
      <c r="G16" t="s">
        <v>59</v>
      </c>
      <c r="H16" t="s">
        <v>60</v>
      </c>
      <c r="I16" t="s">
        <v>56</v>
      </c>
      <c r="J16">
        <v>1994</v>
      </c>
      <c r="K16" t="s">
        <v>49</v>
      </c>
      <c r="L16" t="s">
        <v>57</v>
      </c>
      <c r="M16" t="s">
        <v>61</v>
      </c>
      <c r="N16" t="s">
        <v>62</v>
      </c>
      <c r="O16" t="s">
        <v>24</v>
      </c>
    </row>
    <row r="17" spans="1:15" x14ac:dyDescent="0.3">
      <c r="A17">
        <v>6</v>
      </c>
      <c r="B17" t="s">
        <v>58</v>
      </c>
      <c r="C17" t="s">
        <v>16</v>
      </c>
      <c r="D17">
        <v>33</v>
      </c>
      <c r="E17">
        <v>188</v>
      </c>
      <c r="F17">
        <v>75</v>
      </c>
      <c r="G17" t="s">
        <v>59</v>
      </c>
      <c r="H17" t="s">
        <v>60</v>
      </c>
      <c r="I17" t="s">
        <v>56</v>
      </c>
      <c r="J17">
        <v>1994</v>
      </c>
      <c r="K17" t="s">
        <v>49</v>
      </c>
      <c r="L17" t="s">
        <v>57</v>
      </c>
      <c r="M17" t="s">
        <v>61</v>
      </c>
      <c r="N17" t="s">
        <v>66</v>
      </c>
      <c r="O17" t="s">
        <v>24</v>
      </c>
    </row>
    <row r="18" spans="1:15" x14ac:dyDescent="0.3">
      <c r="A18">
        <v>6</v>
      </c>
      <c r="B18" t="s">
        <v>58</v>
      </c>
      <c r="C18" t="s">
        <v>16</v>
      </c>
      <c r="D18">
        <v>33</v>
      </c>
      <c r="E18">
        <v>188</v>
      </c>
      <c r="F18">
        <v>75</v>
      </c>
      <c r="G18" t="s">
        <v>59</v>
      </c>
      <c r="H18" t="s">
        <v>60</v>
      </c>
      <c r="I18" t="s">
        <v>56</v>
      </c>
      <c r="J18">
        <v>1994</v>
      </c>
      <c r="K18" t="s">
        <v>49</v>
      </c>
      <c r="L18" t="s">
        <v>57</v>
      </c>
      <c r="M18" t="s">
        <v>61</v>
      </c>
      <c r="N18" t="s">
        <v>64</v>
      </c>
      <c r="O18" t="s">
        <v>24</v>
      </c>
    </row>
    <row r="19" spans="1:15" x14ac:dyDescent="0.3">
      <c r="A19">
        <v>6</v>
      </c>
      <c r="B19" t="s">
        <v>58</v>
      </c>
      <c r="C19" t="s">
        <v>16</v>
      </c>
      <c r="D19">
        <v>33</v>
      </c>
      <c r="E19">
        <v>188</v>
      </c>
      <c r="F19">
        <v>75</v>
      </c>
      <c r="G19" t="s">
        <v>59</v>
      </c>
      <c r="H19" t="s">
        <v>60</v>
      </c>
      <c r="I19" t="s">
        <v>56</v>
      </c>
      <c r="J19">
        <v>1994</v>
      </c>
      <c r="K19" t="s">
        <v>49</v>
      </c>
      <c r="L19" t="s">
        <v>57</v>
      </c>
      <c r="M19" t="s">
        <v>61</v>
      </c>
      <c r="N19" t="s">
        <v>65</v>
      </c>
      <c r="O19" t="s">
        <v>24</v>
      </c>
    </row>
    <row r="20" spans="1:15" x14ac:dyDescent="0.3">
      <c r="A20">
        <v>7</v>
      </c>
      <c r="B20" t="s">
        <v>67</v>
      </c>
      <c r="C20" t="s">
        <v>16</v>
      </c>
      <c r="D20">
        <v>31</v>
      </c>
      <c r="E20">
        <v>183</v>
      </c>
      <c r="F20">
        <v>72</v>
      </c>
      <c r="G20" t="s">
        <v>59</v>
      </c>
      <c r="H20" t="s">
        <v>60</v>
      </c>
      <c r="I20" t="s">
        <v>54</v>
      </c>
      <c r="J20">
        <v>1992</v>
      </c>
      <c r="K20" t="s">
        <v>49</v>
      </c>
      <c r="L20" t="s">
        <v>55</v>
      </c>
      <c r="M20" t="s">
        <v>61</v>
      </c>
      <c r="N20" t="s">
        <v>62</v>
      </c>
      <c r="O20" t="s">
        <v>24</v>
      </c>
    </row>
    <row r="21" spans="1:15" x14ac:dyDescent="0.3">
      <c r="A21">
        <v>7</v>
      </c>
      <c r="B21" t="s">
        <v>67</v>
      </c>
      <c r="C21" t="s">
        <v>16</v>
      </c>
      <c r="D21">
        <v>31</v>
      </c>
      <c r="E21">
        <v>183</v>
      </c>
      <c r="F21">
        <v>72</v>
      </c>
      <c r="G21" t="s">
        <v>59</v>
      </c>
      <c r="H21" t="s">
        <v>60</v>
      </c>
      <c r="I21" t="s">
        <v>54</v>
      </c>
      <c r="J21">
        <v>1992</v>
      </c>
      <c r="K21" t="s">
        <v>49</v>
      </c>
      <c r="L21" t="s">
        <v>55</v>
      </c>
      <c r="M21" t="s">
        <v>61</v>
      </c>
      <c r="N21" t="s">
        <v>63</v>
      </c>
      <c r="O21" t="s">
        <v>24</v>
      </c>
    </row>
    <row r="22" spans="1:15" x14ac:dyDescent="0.3">
      <c r="A22">
        <v>7</v>
      </c>
      <c r="B22" t="s">
        <v>67</v>
      </c>
      <c r="C22" t="s">
        <v>16</v>
      </c>
      <c r="D22">
        <v>31</v>
      </c>
      <c r="E22">
        <v>183</v>
      </c>
      <c r="F22">
        <v>72</v>
      </c>
      <c r="G22" t="s">
        <v>59</v>
      </c>
      <c r="H22" t="s">
        <v>60</v>
      </c>
      <c r="I22" t="s">
        <v>54</v>
      </c>
      <c r="J22">
        <v>1992</v>
      </c>
      <c r="K22" t="s">
        <v>49</v>
      </c>
      <c r="L22" t="s">
        <v>55</v>
      </c>
      <c r="M22" t="s">
        <v>61</v>
      </c>
      <c r="N22" t="s">
        <v>64</v>
      </c>
      <c r="O22" t="s">
        <v>24</v>
      </c>
    </row>
    <row r="23" spans="1:15" x14ac:dyDescent="0.3">
      <c r="A23">
        <v>7</v>
      </c>
      <c r="B23" t="s">
        <v>67</v>
      </c>
      <c r="C23" t="s">
        <v>16</v>
      </c>
      <c r="D23">
        <v>31</v>
      </c>
      <c r="E23">
        <v>183</v>
      </c>
      <c r="F23">
        <v>72</v>
      </c>
      <c r="G23" t="s">
        <v>59</v>
      </c>
      <c r="H23" t="s">
        <v>60</v>
      </c>
      <c r="I23" t="s">
        <v>54</v>
      </c>
      <c r="J23">
        <v>1992</v>
      </c>
      <c r="K23" t="s">
        <v>49</v>
      </c>
      <c r="L23" t="s">
        <v>55</v>
      </c>
      <c r="M23" t="s">
        <v>61</v>
      </c>
      <c r="N23" t="s">
        <v>65</v>
      </c>
      <c r="O23" t="s">
        <v>24</v>
      </c>
    </row>
    <row r="24" spans="1:15" x14ac:dyDescent="0.3">
      <c r="A24">
        <v>7</v>
      </c>
      <c r="B24" t="s">
        <v>67</v>
      </c>
      <c r="C24" t="s">
        <v>16</v>
      </c>
      <c r="D24">
        <v>33</v>
      </c>
      <c r="E24">
        <v>183</v>
      </c>
      <c r="F24">
        <v>72</v>
      </c>
      <c r="G24" t="s">
        <v>59</v>
      </c>
      <c r="H24" t="s">
        <v>60</v>
      </c>
      <c r="I24" t="s">
        <v>56</v>
      </c>
      <c r="J24">
        <v>1994</v>
      </c>
      <c r="K24" t="s">
        <v>49</v>
      </c>
      <c r="L24" t="s">
        <v>57</v>
      </c>
      <c r="M24" t="s">
        <v>61</v>
      </c>
      <c r="N24" t="s">
        <v>62</v>
      </c>
      <c r="O24" t="s">
        <v>24</v>
      </c>
    </row>
    <row r="25" spans="1:15" x14ac:dyDescent="0.3">
      <c r="A25">
        <v>7</v>
      </c>
      <c r="B25" t="s">
        <v>67</v>
      </c>
      <c r="C25" t="s">
        <v>16</v>
      </c>
      <c r="D25">
        <v>33</v>
      </c>
      <c r="E25">
        <v>183</v>
      </c>
      <c r="F25">
        <v>72</v>
      </c>
      <c r="G25" t="s">
        <v>59</v>
      </c>
      <c r="H25" t="s">
        <v>60</v>
      </c>
      <c r="I25" t="s">
        <v>56</v>
      </c>
      <c r="J25">
        <v>1994</v>
      </c>
      <c r="K25" t="s">
        <v>49</v>
      </c>
      <c r="L25" t="s">
        <v>57</v>
      </c>
      <c r="M25" t="s">
        <v>61</v>
      </c>
      <c r="N25" t="s">
        <v>66</v>
      </c>
      <c r="O25" t="s">
        <v>24</v>
      </c>
    </row>
    <row r="26" spans="1:15" x14ac:dyDescent="0.3">
      <c r="A26">
        <v>7</v>
      </c>
      <c r="B26" t="s">
        <v>67</v>
      </c>
      <c r="C26" t="s">
        <v>16</v>
      </c>
      <c r="D26">
        <v>33</v>
      </c>
      <c r="E26">
        <v>183</v>
      </c>
      <c r="F26">
        <v>72</v>
      </c>
      <c r="G26" t="s">
        <v>59</v>
      </c>
      <c r="H26" t="s">
        <v>60</v>
      </c>
      <c r="I26" t="s">
        <v>56</v>
      </c>
      <c r="J26">
        <v>1994</v>
      </c>
      <c r="K26" t="s">
        <v>49</v>
      </c>
      <c r="L26" t="s">
        <v>57</v>
      </c>
      <c r="M26" t="s">
        <v>61</v>
      </c>
      <c r="N26" t="s">
        <v>64</v>
      </c>
      <c r="O26" t="s">
        <v>24</v>
      </c>
    </row>
    <row r="27" spans="1:15" x14ac:dyDescent="0.3">
      <c r="A27">
        <v>7</v>
      </c>
      <c r="B27" t="s">
        <v>67</v>
      </c>
      <c r="C27" t="s">
        <v>16</v>
      </c>
      <c r="D27">
        <v>33</v>
      </c>
      <c r="E27">
        <v>183</v>
      </c>
      <c r="F27">
        <v>72</v>
      </c>
      <c r="G27" t="s">
        <v>59</v>
      </c>
      <c r="H27" t="s">
        <v>60</v>
      </c>
      <c r="I27" t="s">
        <v>56</v>
      </c>
      <c r="J27">
        <v>1994</v>
      </c>
      <c r="K27" t="s">
        <v>49</v>
      </c>
      <c r="L27" t="s">
        <v>57</v>
      </c>
      <c r="M27" t="s">
        <v>61</v>
      </c>
      <c r="N27" t="s">
        <v>65</v>
      </c>
      <c r="O27" t="s">
        <v>24</v>
      </c>
    </row>
    <row r="28" spans="1:15" x14ac:dyDescent="0.3">
      <c r="A28">
        <v>8</v>
      </c>
      <c r="B28" t="s">
        <v>68</v>
      </c>
      <c r="C28" t="s">
        <v>45</v>
      </c>
      <c r="D28">
        <v>18</v>
      </c>
      <c r="E28">
        <v>168</v>
      </c>
      <c r="F28" t="s">
        <v>24</v>
      </c>
      <c r="G28" t="s">
        <v>46</v>
      </c>
      <c r="H28" t="s">
        <v>47</v>
      </c>
      <c r="I28" t="s">
        <v>69</v>
      </c>
      <c r="J28">
        <v>1932</v>
      </c>
      <c r="K28" t="s">
        <v>20</v>
      </c>
      <c r="L28" t="s">
        <v>70</v>
      </c>
      <c r="M28" t="s">
        <v>71</v>
      </c>
      <c r="N28" t="s">
        <v>72</v>
      </c>
      <c r="O28" t="s">
        <v>24</v>
      </c>
    </row>
    <row r="29" spans="1:15" x14ac:dyDescent="0.3">
      <c r="A29">
        <v>8</v>
      </c>
      <c r="B29" t="s">
        <v>68</v>
      </c>
      <c r="C29" t="s">
        <v>45</v>
      </c>
      <c r="D29">
        <v>18</v>
      </c>
      <c r="E29">
        <v>168</v>
      </c>
      <c r="F29" t="s">
        <v>24</v>
      </c>
      <c r="G29" t="s">
        <v>46</v>
      </c>
      <c r="H29" t="s">
        <v>47</v>
      </c>
      <c r="I29" t="s">
        <v>69</v>
      </c>
      <c r="J29">
        <v>1932</v>
      </c>
      <c r="K29" t="s">
        <v>20</v>
      </c>
      <c r="L29" t="s">
        <v>70</v>
      </c>
      <c r="M29" t="s">
        <v>71</v>
      </c>
      <c r="N29" t="s">
        <v>73</v>
      </c>
      <c r="O29" t="s">
        <v>24</v>
      </c>
    </row>
    <row r="30" spans="1:15" x14ac:dyDescent="0.3">
      <c r="A30">
        <v>9</v>
      </c>
      <c r="B30" t="s">
        <v>74</v>
      </c>
      <c r="C30" t="s">
        <v>16</v>
      </c>
      <c r="D30">
        <v>26</v>
      </c>
      <c r="E30">
        <v>186</v>
      </c>
      <c r="F30">
        <v>96</v>
      </c>
      <c r="G30" t="s">
        <v>75</v>
      </c>
      <c r="H30" t="s">
        <v>76</v>
      </c>
      <c r="I30" t="s">
        <v>77</v>
      </c>
      <c r="J30">
        <v>2002</v>
      </c>
      <c r="K30" t="s">
        <v>49</v>
      </c>
      <c r="L30" t="s">
        <v>78</v>
      </c>
      <c r="M30" t="s">
        <v>79</v>
      </c>
      <c r="N30" t="s">
        <v>80</v>
      </c>
      <c r="O30" t="s">
        <v>24</v>
      </c>
    </row>
    <row r="31" spans="1:15" x14ac:dyDescent="0.3">
      <c r="A31">
        <v>10</v>
      </c>
      <c r="B31" t="s">
        <v>81</v>
      </c>
      <c r="C31" t="s">
        <v>16</v>
      </c>
      <c r="D31">
        <v>26</v>
      </c>
      <c r="E31" t="s">
        <v>24</v>
      </c>
      <c r="F31" t="s">
        <v>24</v>
      </c>
      <c r="G31" t="s">
        <v>75</v>
      </c>
      <c r="H31" t="s">
        <v>76</v>
      </c>
      <c r="I31" t="s">
        <v>82</v>
      </c>
      <c r="J31">
        <v>1952</v>
      </c>
      <c r="K31" t="s">
        <v>20</v>
      </c>
      <c r="L31" t="s">
        <v>83</v>
      </c>
      <c r="M31" t="s">
        <v>84</v>
      </c>
      <c r="N31" t="s">
        <v>85</v>
      </c>
      <c r="O31" t="s">
        <v>24</v>
      </c>
    </row>
    <row r="32" spans="1:15" x14ac:dyDescent="0.3">
      <c r="A32">
        <v>11</v>
      </c>
      <c r="B32" t="s">
        <v>86</v>
      </c>
      <c r="C32" t="s">
        <v>16</v>
      </c>
      <c r="D32">
        <v>22</v>
      </c>
      <c r="E32">
        <v>182</v>
      </c>
      <c r="F32">
        <v>76.5</v>
      </c>
      <c r="G32" t="s">
        <v>75</v>
      </c>
      <c r="H32" t="s">
        <v>76</v>
      </c>
      <c r="I32" t="s">
        <v>87</v>
      </c>
      <c r="J32">
        <v>1980</v>
      </c>
      <c r="K32" t="s">
        <v>49</v>
      </c>
      <c r="L32" t="s">
        <v>88</v>
      </c>
      <c r="M32" t="s">
        <v>61</v>
      </c>
      <c r="N32" t="s">
        <v>66</v>
      </c>
      <c r="O32" t="s">
        <v>24</v>
      </c>
    </row>
    <row r="33" spans="1:15" x14ac:dyDescent="0.3">
      <c r="A33">
        <v>12</v>
      </c>
      <c r="B33" t="s">
        <v>89</v>
      </c>
      <c r="C33" t="s">
        <v>16</v>
      </c>
      <c r="D33">
        <v>31</v>
      </c>
      <c r="E33">
        <v>172</v>
      </c>
      <c r="F33">
        <v>70</v>
      </c>
      <c r="G33" t="s">
        <v>75</v>
      </c>
      <c r="H33" t="s">
        <v>76</v>
      </c>
      <c r="I33" t="s">
        <v>90</v>
      </c>
      <c r="J33">
        <v>2000</v>
      </c>
      <c r="K33" t="s">
        <v>20</v>
      </c>
      <c r="L33" t="s">
        <v>91</v>
      </c>
      <c r="M33" t="s">
        <v>92</v>
      </c>
      <c r="N33" t="s">
        <v>93</v>
      </c>
      <c r="O33" t="s">
        <v>24</v>
      </c>
    </row>
    <row r="34" spans="1:15" x14ac:dyDescent="0.3">
      <c r="A34">
        <v>13</v>
      </c>
      <c r="B34" t="s">
        <v>94</v>
      </c>
      <c r="C34" t="s">
        <v>45</v>
      </c>
      <c r="D34">
        <v>30</v>
      </c>
      <c r="E34">
        <v>159</v>
      </c>
      <c r="F34">
        <v>55.5</v>
      </c>
      <c r="G34" t="s">
        <v>75</v>
      </c>
      <c r="H34" t="s">
        <v>76</v>
      </c>
      <c r="I34" t="s">
        <v>95</v>
      </c>
      <c r="J34">
        <v>1996</v>
      </c>
      <c r="K34" t="s">
        <v>20</v>
      </c>
      <c r="L34" t="s">
        <v>96</v>
      </c>
      <c r="M34" t="s">
        <v>97</v>
      </c>
      <c r="N34" t="s">
        <v>98</v>
      </c>
      <c r="O34" t="s">
        <v>24</v>
      </c>
    </row>
    <row r="35" spans="1:15" x14ac:dyDescent="0.3">
      <c r="A35">
        <v>13</v>
      </c>
      <c r="B35" t="s">
        <v>94</v>
      </c>
      <c r="C35" t="s">
        <v>45</v>
      </c>
      <c r="D35">
        <v>34</v>
      </c>
      <c r="E35">
        <v>159</v>
      </c>
      <c r="F35">
        <v>55.5</v>
      </c>
      <c r="G35" t="s">
        <v>75</v>
      </c>
      <c r="H35" t="s">
        <v>76</v>
      </c>
      <c r="I35" t="s">
        <v>90</v>
      </c>
      <c r="J35">
        <v>2000</v>
      </c>
      <c r="K35" t="s">
        <v>20</v>
      </c>
      <c r="L35" t="s">
        <v>91</v>
      </c>
      <c r="M35" t="s">
        <v>97</v>
      </c>
      <c r="N35" t="s">
        <v>98</v>
      </c>
      <c r="O35" t="s">
        <v>24</v>
      </c>
    </row>
    <row r="36" spans="1:15" x14ac:dyDescent="0.3">
      <c r="A36">
        <v>14</v>
      </c>
      <c r="B36" t="s">
        <v>99</v>
      </c>
      <c r="C36" t="s">
        <v>45</v>
      </c>
      <c r="D36">
        <v>32</v>
      </c>
      <c r="E36">
        <v>171</v>
      </c>
      <c r="F36">
        <v>65</v>
      </c>
      <c r="G36" t="s">
        <v>75</v>
      </c>
      <c r="H36" t="s">
        <v>76</v>
      </c>
      <c r="I36" t="s">
        <v>56</v>
      </c>
      <c r="J36">
        <v>1994</v>
      </c>
      <c r="K36" t="s">
        <v>49</v>
      </c>
      <c r="L36" t="s">
        <v>57</v>
      </c>
      <c r="M36" t="s">
        <v>100</v>
      </c>
      <c r="N36" t="s">
        <v>101</v>
      </c>
      <c r="O36" t="s">
        <v>24</v>
      </c>
    </row>
    <row r="37" spans="1:15" x14ac:dyDescent="0.3">
      <c r="A37">
        <v>15</v>
      </c>
      <c r="B37" t="s">
        <v>102</v>
      </c>
      <c r="C37" t="s">
        <v>16</v>
      </c>
      <c r="D37">
        <v>22</v>
      </c>
      <c r="E37" t="s">
        <v>24</v>
      </c>
      <c r="F37" t="s">
        <v>24</v>
      </c>
      <c r="G37" t="s">
        <v>75</v>
      </c>
      <c r="H37" t="s">
        <v>76</v>
      </c>
      <c r="I37" t="s">
        <v>103</v>
      </c>
      <c r="J37">
        <v>1912</v>
      </c>
      <c r="K37" t="s">
        <v>20</v>
      </c>
      <c r="L37" t="s">
        <v>104</v>
      </c>
      <c r="M37" t="s">
        <v>84</v>
      </c>
      <c r="N37" t="s">
        <v>105</v>
      </c>
      <c r="O37" t="s">
        <v>24</v>
      </c>
    </row>
    <row r="38" spans="1:15" x14ac:dyDescent="0.3">
      <c r="A38">
        <v>15</v>
      </c>
      <c r="B38" t="s">
        <v>102</v>
      </c>
      <c r="C38" t="s">
        <v>16</v>
      </c>
      <c r="D38">
        <v>22</v>
      </c>
      <c r="E38" t="s">
        <v>24</v>
      </c>
      <c r="F38" t="s">
        <v>24</v>
      </c>
      <c r="G38" t="s">
        <v>75</v>
      </c>
      <c r="H38" t="s">
        <v>76</v>
      </c>
      <c r="I38" t="s">
        <v>103</v>
      </c>
      <c r="J38">
        <v>1912</v>
      </c>
      <c r="K38" t="s">
        <v>20</v>
      </c>
      <c r="L38" t="s">
        <v>104</v>
      </c>
      <c r="M38" t="s">
        <v>84</v>
      </c>
      <c r="N38" t="s">
        <v>106</v>
      </c>
      <c r="O38" t="s">
        <v>24</v>
      </c>
    </row>
    <row r="39" spans="1:15" x14ac:dyDescent="0.3">
      <c r="A39">
        <v>15</v>
      </c>
      <c r="B39" t="s">
        <v>102</v>
      </c>
      <c r="C39" t="s">
        <v>16</v>
      </c>
      <c r="D39">
        <v>30</v>
      </c>
      <c r="E39" t="s">
        <v>24</v>
      </c>
      <c r="F39" t="s">
        <v>24</v>
      </c>
      <c r="G39" t="s">
        <v>75</v>
      </c>
      <c r="H39" t="s">
        <v>76</v>
      </c>
      <c r="I39" t="s">
        <v>33</v>
      </c>
      <c r="J39">
        <v>1920</v>
      </c>
      <c r="K39" t="s">
        <v>20</v>
      </c>
      <c r="L39" t="s">
        <v>34</v>
      </c>
      <c r="M39" t="s">
        <v>84</v>
      </c>
      <c r="N39" t="s">
        <v>105</v>
      </c>
      <c r="O39" t="s">
        <v>107</v>
      </c>
    </row>
    <row r="40" spans="1:15" x14ac:dyDescent="0.3">
      <c r="A40">
        <v>15</v>
      </c>
      <c r="B40" t="s">
        <v>102</v>
      </c>
      <c r="C40" t="s">
        <v>16</v>
      </c>
      <c r="D40">
        <v>30</v>
      </c>
      <c r="E40" t="s">
        <v>24</v>
      </c>
      <c r="F40" t="s">
        <v>24</v>
      </c>
      <c r="G40" t="s">
        <v>75</v>
      </c>
      <c r="H40" t="s">
        <v>76</v>
      </c>
      <c r="I40" t="s">
        <v>33</v>
      </c>
      <c r="J40">
        <v>1920</v>
      </c>
      <c r="K40" t="s">
        <v>20</v>
      </c>
      <c r="L40" t="s">
        <v>34</v>
      </c>
      <c r="M40" t="s">
        <v>84</v>
      </c>
      <c r="N40" t="s">
        <v>106</v>
      </c>
      <c r="O40" t="s">
        <v>107</v>
      </c>
    </row>
    <row r="41" spans="1:15" x14ac:dyDescent="0.3">
      <c r="A41">
        <v>15</v>
      </c>
      <c r="B41" t="s">
        <v>102</v>
      </c>
      <c r="C41" t="s">
        <v>16</v>
      </c>
      <c r="D41">
        <v>34</v>
      </c>
      <c r="E41" t="s">
        <v>24</v>
      </c>
      <c r="F41" t="s">
        <v>24</v>
      </c>
      <c r="G41" t="s">
        <v>75</v>
      </c>
      <c r="H41" t="s">
        <v>76</v>
      </c>
      <c r="I41" t="s">
        <v>108</v>
      </c>
      <c r="J41">
        <v>1924</v>
      </c>
      <c r="K41" t="s">
        <v>20</v>
      </c>
      <c r="L41" t="s">
        <v>40</v>
      </c>
      <c r="M41" t="s">
        <v>84</v>
      </c>
      <c r="N41" t="s">
        <v>105</v>
      </c>
      <c r="O41" t="s">
        <v>24</v>
      </c>
    </row>
    <row r="42" spans="1:15" x14ac:dyDescent="0.3">
      <c r="A42">
        <v>16</v>
      </c>
      <c r="B42" t="s">
        <v>109</v>
      </c>
      <c r="C42" t="s">
        <v>16</v>
      </c>
      <c r="D42">
        <v>28</v>
      </c>
      <c r="E42">
        <v>184</v>
      </c>
      <c r="F42">
        <v>85</v>
      </c>
      <c r="G42" t="s">
        <v>75</v>
      </c>
      <c r="H42" t="s">
        <v>76</v>
      </c>
      <c r="I42" t="s">
        <v>110</v>
      </c>
      <c r="J42">
        <v>2014</v>
      </c>
      <c r="K42" t="s">
        <v>49</v>
      </c>
      <c r="L42" t="s">
        <v>111</v>
      </c>
      <c r="M42" t="s">
        <v>79</v>
      </c>
      <c r="N42" t="s">
        <v>80</v>
      </c>
      <c r="O42" t="s">
        <v>107</v>
      </c>
    </row>
    <row r="43" spans="1:15" x14ac:dyDescent="0.3">
      <c r="A43">
        <v>17</v>
      </c>
      <c r="B43" t="s">
        <v>112</v>
      </c>
      <c r="C43" t="s">
        <v>16</v>
      </c>
      <c r="D43">
        <v>28</v>
      </c>
      <c r="E43">
        <v>175</v>
      </c>
      <c r="F43">
        <v>64</v>
      </c>
      <c r="G43" t="s">
        <v>75</v>
      </c>
      <c r="H43" t="s">
        <v>76</v>
      </c>
      <c r="I43" t="s">
        <v>113</v>
      </c>
      <c r="J43">
        <v>1948</v>
      </c>
      <c r="K43" t="s">
        <v>20</v>
      </c>
      <c r="L43" t="s">
        <v>27</v>
      </c>
      <c r="M43" t="s">
        <v>114</v>
      </c>
      <c r="N43" t="s">
        <v>115</v>
      </c>
      <c r="O43" t="s">
        <v>107</v>
      </c>
    </row>
    <row r="44" spans="1:15" x14ac:dyDescent="0.3">
      <c r="A44">
        <v>17</v>
      </c>
      <c r="B44" t="s">
        <v>112</v>
      </c>
      <c r="C44" t="s">
        <v>16</v>
      </c>
      <c r="D44">
        <v>28</v>
      </c>
      <c r="E44">
        <v>175</v>
      </c>
      <c r="F44">
        <v>64</v>
      </c>
      <c r="G44" t="s">
        <v>75</v>
      </c>
      <c r="H44" t="s">
        <v>76</v>
      </c>
      <c r="I44" t="s">
        <v>113</v>
      </c>
      <c r="J44">
        <v>1948</v>
      </c>
      <c r="K44" t="s">
        <v>20</v>
      </c>
      <c r="L44" t="s">
        <v>27</v>
      </c>
      <c r="M44" t="s">
        <v>114</v>
      </c>
      <c r="N44" t="s">
        <v>116</v>
      </c>
      <c r="O44" t="s">
        <v>43</v>
      </c>
    </row>
    <row r="45" spans="1:15" x14ac:dyDescent="0.3">
      <c r="A45">
        <v>17</v>
      </c>
      <c r="B45" t="s">
        <v>112</v>
      </c>
      <c r="C45" t="s">
        <v>16</v>
      </c>
      <c r="D45">
        <v>28</v>
      </c>
      <c r="E45">
        <v>175</v>
      </c>
      <c r="F45">
        <v>64</v>
      </c>
      <c r="G45" t="s">
        <v>75</v>
      </c>
      <c r="H45" t="s">
        <v>76</v>
      </c>
      <c r="I45" t="s">
        <v>113</v>
      </c>
      <c r="J45">
        <v>1948</v>
      </c>
      <c r="K45" t="s">
        <v>20</v>
      </c>
      <c r="L45" t="s">
        <v>27</v>
      </c>
      <c r="M45" t="s">
        <v>114</v>
      </c>
      <c r="N45" t="s">
        <v>117</v>
      </c>
      <c r="O45" t="s">
        <v>24</v>
      </c>
    </row>
    <row r="46" spans="1:15" x14ac:dyDescent="0.3">
      <c r="A46">
        <v>17</v>
      </c>
      <c r="B46" t="s">
        <v>112</v>
      </c>
      <c r="C46" t="s">
        <v>16</v>
      </c>
      <c r="D46">
        <v>28</v>
      </c>
      <c r="E46">
        <v>175</v>
      </c>
      <c r="F46">
        <v>64</v>
      </c>
      <c r="G46" t="s">
        <v>75</v>
      </c>
      <c r="H46" t="s">
        <v>76</v>
      </c>
      <c r="I46" t="s">
        <v>113</v>
      </c>
      <c r="J46">
        <v>1948</v>
      </c>
      <c r="K46" t="s">
        <v>20</v>
      </c>
      <c r="L46" t="s">
        <v>27</v>
      </c>
      <c r="M46" t="s">
        <v>114</v>
      </c>
      <c r="N46" t="s">
        <v>118</v>
      </c>
      <c r="O46" t="s">
        <v>43</v>
      </c>
    </row>
    <row r="47" spans="1:15" x14ac:dyDescent="0.3">
      <c r="A47">
        <v>17</v>
      </c>
      <c r="B47" t="s">
        <v>112</v>
      </c>
      <c r="C47" t="s">
        <v>16</v>
      </c>
      <c r="D47">
        <v>28</v>
      </c>
      <c r="E47">
        <v>175</v>
      </c>
      <c r="F47">
        <v>64</v>
      </c>
      <c r="G47" t="s">
        <v>75</v>
      </c>
      <c r="H47" t="s">
        <v>76</v>
      </c>
      <c r="I47" t="s">
        <v>113</v>
      </c>
      <c r="J47">
        <v>1948</v>
      </c>
      <c r="K47" t="s">
        <v>20</v>
      </c>
      <c r="L47" t="s">
        <v>27</v>
      </c>
      <c r="M47" t="s">
        <v>114</v>
      </c>
      <c r="N47" t="s">
        <v>119</v>
      </c>
      <c r="O47" t="s">
        <v>24</v>
      </c>
    </row>
    <row r="48" spans="1:15" x14ac:dyDescent="0.3">
      <c r="A48">
        <v>17</v>
      </c>
      <c r="B48" t="s">
        <v>112</v>
      </c>
      <c r="C48" t="s">
        <v>16</v>
      </c>
      <c r="D48">
        <v>28</v>
      </c>
      <c r="E48">
        <v>175</v>
      </c>
      <c r="F48">
        <v>64</v>
      </c>
      <c r="G48" t="s">
        <v>75</v>
      </c>
      <c r="H48" t="s">
        <v>76</v>
      </c>
      <c r="I48" t="s">
        <v>113</v>
      </c>
      <c r="J48">
        <v>1948</v>
      </c>
      <c r="K48" t="s">
        <v>20</v>
      </c>
      <c r="L48" t="s">
        <v>27</v>
      </c>
      <c r="M48" t="s">
        <v>114</v>
      </c>
      <c r="N48" t="s">
        <v>120</v>
      </c>
      <c r="O48" t="s">
        <v>24</v>
      </c>
    </row>
    <row r="49" spans="1:15" x14ac:dyDescent="0.3">
      <c r="A49">
        <v>17</v>
      </c>
      <c r="B49" t="s">
        <v>112</v>
      </c>
      <c r="C49" t="s">
        <v>16</v>
      </c>
      <c r="D49">
        <v>28</v>
      </c>
      <c r="E49">
        <v>175</v>
      </c>
      <c r="F49">
        <v>64</v>
      </c>
      <c r="G49" t="s">
        <v>75</v>
      </c>
      <c r="H49" t="s">
        <v>76</v>
      </c>
      <c r="I49" t="s">
        <v>113</v>
      </c>
      <c r="J49">
        <v>1948</v>
      </c>
      <c r="K49" t="s">
        <v>20</v>
      </c>
      <c r="L49" t="s">
        <v>27</v>
      </c>
      <c r="M49" t="s">
        <v>114</v>
      </c>
      <c r="N49" t="s">
        <v>121</v>
      </c>
      <c r="O49" t="s">
        <v>24</v>
      </c>
    </row>
    <row r="50" spans="1:15" x14ac:dyDescent="0.3">
      <c r="A50">
        <v>17</v>
      </c>
      <c r="B50" t="s">
        <v>112</v>
      </c>
      <c r="C50" t="s">
        <v>16</v>
      </c>
      <c r="D50">
        <v>28</v>
      </c>
      <c r="E50">
        <v>175</v>
      </c>
      <c r="F50">
        <v>64</v>
      </c>
      <c r="G50" t="s">
        <v>75</v>
      </c>
      <c r="H50" t="s">
        <v>76</v>
      </c>
      <c r="I50" t="s">
        <v>113</v>
      </c>
      <c r="J50">
        <v>1948</v>
      </c>
      <c r="K50" t="s">
        <v>20</v>
      </c>
      <c r="L50" t="s">
        <v>27</v>
      </c>
      <c r="M50" t="s">
        <v>114</v>
      </c>
      <c r="N50" t="s">
        <v>122</v>
      </c>
      <c r="O50" t="s">
        <v>43</v>
      </c>
    </row>
    <row r="51" spans="1:15" x14ac:dyDescent="0.3">
      <c r="A51">
        <v>17</v>
      </c>
      <c r="B51" t="s">
        <v>112</v>
      </c>
      <c r="C51" t="s">
        <v>16</v>
      </c>
      <c r="D51">
        <v>32</v>
      </c>
      <c r="E51">
        <v>175</v>
      </c>
      <c r="F51">
        <v>64</v>
      </c>
      <c r="G51" t="s">
        <v>75</v>
      </c>
      <c r="H51" t="s">
        <v>76</v>
      </c>
      <c r="I51" t="s">
        <v>82</v>
      </c>
      <c r="J51">
        <v>1952</v>
      </c>
      <c r="K51" t="s">
        <v>20</v>
      </c>
      <c r="L51" t="s">
        <v>83</v>
      </c>
      <c r="M51" t="s">
        <v>114</v>
      </c>
      <c r="N51" t="s">
        <v>115</v>
      </c>
      <c r="O51" t="s">
        <v>24</v>
      </c>
    </row>
    <row r="52" spans="1:15" x14ac:dyDescent="0.3">
      <c r="A52">
        <v>17</v>
      </c>
      <c r="B52" t="s">
        <v>112</v>
      </c>
      <c r="C52" t="s">
        <v>16</v>
      </c>
      <c r="D52">
        <v>32</v>
      </c>
      <c r="E52">
        <v>175</v>
      </c>
      <c r="F52">
        <v>64</v>
      </c>
      <c r="G52" t="s">
        <v>75</v>
      </c>
      <c r="H52" t="s">
        <v>76</v>
      </c>
      <c r="I52" t="s">
        <v>82</v>
      </c>
      <c r="J52">
        <v>1952</v>
      </c>
      <c r="K52" t="s">
        <v>20</v>
      </c>
      <c r="L52" t="s">
        <v>83</v>
      </c>
      <c r="M52" t="s">
        <v>114</v>
      </c>
      <c r="N52" t="s">
        <v>116</v>
      </c>
      <c r="O52" t="s">
        <v>107</v>
      </c>
    </row>
    <row r="53" spans="1:15" x14ac:dyDescent="0.3">
      <c r="A53">
        <v>17</v>
      </c>
      <c r="B53" t="s">
        <v>112</v>
      </c>
      <c r="C53" t="s">
        <v>16</v>
      </c>
      <c r="D53">
        <v>32</v>
      </c>
      <c r="E53">
        <v>175</v>
      </c>
      <c r="F53">
        <v>64</v>
      </c>
      <c r="G53" t="s">
        <v>75</v>
      </c>
      <c r="H53" t="s">
        <v>76</v>
      </c>
      <c r="I53" t="s">
        <v>82</v>
      </c>
      <c r="J53">
        <v>1952</v>
      </c>
      <c r="K53" t="s">
        <v>20</v>
      </c>
      <c r="L53" t="s">
        <v>83</v>
      </c>
      <c r="M53" t="s">
        <v>114</v>
      </c>
      <c r="N53" t="s">
        <v>117</v>
      </c>
      <c r="O53" t="s">
        <v>24</v>
      </c>
    </row>
    <row r="54" spans="1:15" x14ac:dyDescent="0.3">
      <c r="A54">
        <v>17</v>
      </c>
      <c r="B54" t="s">
        <v>112</v>
      </c>
      <c r="C54" t="s">
        <v>16</v>
      </c>
      <c r="D54">
        <v>32</v>
      </c>
      <c r="E54">
        <v>175</v>
      </c>
      <c r="F54">
        <v>64</v>
      </c>
      <c r="G54" t="s">
        <v>75</v>
      </c>
      <c r="H54" t="s">
        <v>76</v>
      </c>
      <c r="I54" t="s">
        <v>82</v>
      </c>
      <c r="J54">
        <v>1952</v>
      </c>
      <c r="K54" t="s">
        <v>20</v>
      </c>
      <c r="L54" t="s">
        <v>83</v>
      </c>
      <c r="M54" t="s">
        <v>114</v>
      </c>
      <c r="N54" t="s">
        <v>118</v>
      </c>
      <c r="O54" t="s">
        <v>24</v>
      </c>
    </row>
    <row r="55" spans="1:15" x14ac:dyDescent="0.3">
      <c r="A55">
        <v>17</v>
      </c>
      <c r="B55" t="s">
        <v>112</v>
      </c>
      <c r="C55" t="s">
        <v>16</v>
      </c>
      <c r="D55">
        <v>32</v>
      </c>
      <c r="E55">
        <v>175</v>
      </c>
      <c r="F55">
        <v>64</v>
      </c>
      <c r="G55" t="s">
        <v>75</v>
      </c>
      <c r="H55" t="s">
        <v>76</v>
      </c>
      <c r="I55" t="s">
        <v>82</v>
      </c>
      <c r="J55">
        <v>1952</v>
      </c>
      <c r="K55" t="s">
        <v>20</v>
      </c>
      <c r="L55" t="s">
        <v>83</v>
      </c>
      <c r="M55" t="s">
        <v>114</v>
      </c>
      <c r="N55" t="s">
        <v>119</v>
      </c>
      <c r="O55" t="s">
        <v>24</v>
      </c>
    </row>
    <row r="56" spans="1:15" x14ac:dyDescent="0.3">
      <c r="A56">
        <v>17</v>
      </c>
      <c r="B56" t="s">
        <v>112</v>
      </c>
      <c r="C56" t="s">
        <v>16</v>
      </c>
      <c r="D56">
        <v>32</v>
      </c>
      <c r="E56">
        <v>175</v>
      </c>
      <c r="F56">
        <v>64</v>
      </c>
      <c r="G56" t="s">
        <v>75</v>
      </c>
      <c r="H56" t="s">
        <v>76</v>
      </c>
      <c r="I56" t="s">
        <v>82</v>
      </c>
      <c r="J56">
        <v>1952</v>
      </c>
      <c r="K56" t="s">
        <v>20</v>
      </c>
      <c r="L56" t="s">
        <v>83</v>
      </c>
      <c r="M56" t="s">
        <v>114</v>
      </c>
      <c r="N56" t="s">
        <v>120</v>
      </c>
      <c r="O56" t="s">
        <v>24</v>
      </c>
    </row>
    <row r="57" spans="1:15" x14ac:dyDescent="0.3">
      <c r="A57">
        <v>17</v>
      </c>
      <c r="B57" t="s">
        <v>112</v>
      </c>
      <c r="C57" t="s">
        <v>16</v>
      </c>
      <c r="D57">
        <v>32</v>
      </c>
      <c r="E57">
        <v>175</v>
      </c>
      <c r="F57">
        <v>64</v>
      </c>
      <c r="G57" t="s">
        <v>75</v>
      </c>
      <c r="H57" t="s">
        <v>76</v>
      </c>
      <c r="I57" t="s">
        <v>82</v>
      </c>
      <c r="J57">
        <v>1952</v>
      </c>
      <c r="K57" t="s">
        <v>20</v>
      </c>
      <c r="L57" t="s">
        <v>83</v>
      </c>
      <c r="M57" t="s">
        <v>114</v>
      </c>
      <c r="N57" t="s">
        <v>121</v>
      </c>
      <c r="O57" t="s">
        <v>24</v>
      </c>
    </row>
    <row r="58" spans="1:15" x14ac:dyDescent="0.3">
      <c r="A58">
        <v>17</v>
      </c>
      <c r="B58" t="s">
        <v>112</v>
      </c>
      <c r="C58" t="s">
        <v>16</v>
      </c>
      <c r="D58">
        <v>32</v>
      </c>
      <c r="E58">
        <v>175</v>
      </c>
      <c r="F58">
        <v>64</v>
      </c>
      <c r="G58" t="s">
        <v>75</v>
      </c>
      <c r="H58" t="s">
        <v>76</v>
      </c>
      <c r="I58" t="s">
        <v>82</v>
      </c>
      <c r="J58">
        <v>1952</v>
      </c>
      <c r="K58" t="s">
        <v>20</v>
      </c>
      <c r="L58" t="s">
        <v>83</v>
      </c>
      <c r="M58" t="s">
        <v>114</v>
      </c>
      <c r="N58" t="s">
        <v>122</v>
      </c>
      <c r="O58" t="s">
        <v>24</v>
      </c>
    </row>
    <row r="59" spans="1:15" x14ac:dyDescent="0.3">
      <c r="A59">
        <v>18</v>
      </c>
      <c r="B59" t="s">
        <v>123</v>
      </c>
      <c r="C59" t="s">
        <v>16</v>
      </c>
      <c r="D59">
        <v>31</v>
      </c>
      <c r="E59">
        <v>189</v>
      </c>
      <c r="F59">
        <v>130</v>
      </c>
      <c r="G59" t="s">
        <v>75</v>
      </c>
      <c r="H59" t="s">
        <v>76</v>
      </c>
      <c r="I59" t="s">
        <v>90</v>
      </c>
      <c r="J59">
        <v>2000</v>
      </c>
      <c r="K59" t="s">
        <v>20</v>
      </c>
      <c r="L59" t="s">
        <v>91</v>
      </c>
      <c r="M59" t="s">
        <v>71</v>
      </c>
      <c r="N59" t="s">
        <v>124</v>
      </c>
      <c r="O59" t="s">
        <v>24</v>
      </c>
    </row>
    <row r="60" spans="1:15" x14ac:dyDescent="0.3">
      <c r="A60">
        <v>19</v>
      </c>
      <c r="B60" t="s">
        <v>125</v>
      </c>
      <c r="C60" t="s">
        <v>16</v>
      </c>
      <c r="D60">
        <v>54</v>
      </c>
      <c r="E60" t="s">
        <v>24</v>
      </c>
      <c r="F60" t="s">
        <v>24</v>
      </c>
      <c r="G60" t="s">
        <v>75</v>
      </c>
      <c r="H60" t="s">
        <v>76</v>
      </c>
      <c r="I60" t="s">
        <v>113</v>
      </c>
      <c r="J60">
        <v>1948</v>
      </c>
      <c r="K60" t="s">
        <v>20</v>
      </c>
      <c r="L60" t="s">
        <v>27</v>
      </c>
      <c r="M60" t="s">
        <v>126</v>
      </c>
      <c r="N60" t="s">
        <v>127</v>
      </c>
      <c r="O60" t="s">
        <v>24</v>
      </c>
    </row>
    <row r="61" spans="1:15" x14ac:dyDescent="0.3">
      <c r="A61">
        <v>20</v>
      </c>
      <c r="B61" t="s">
        <v>128</v>
      </c>
      <c r="C61" t="s">
        <v>16</v>
      </c>
      <c r="D61">
        <v>20</v>
      </c>
      <c r="E61">
        <v>176</v>
      </c>
      <c r="F61">
        <v>85</v>
      </c>
      <c r="G61" t="s">
        <v>129</v>
      </c>
      <c r="H61" t="s">
        <v>130</v>
      </c>
      <c r="I61" t="s">
        <v>54</v>
      </c>
      <c r="J61">
        <v>1992</v>
      </c>
      <c r="K61" t="s">
        <v>49</v>
      </c>
      <c r="L61" t="s">
        <v>55</v>
      </c>
      <c r="M61" t="s">
        <v>131</v>
      </c>
      <c r="N61" t="s">
        <v>132</v>
      </c>
      <c r="O61" t="s">
        <v>24</v>
      </c>
    </row>
    <row r="62" spans="1:15" x14ac:dyDescent="0.3">
      <c r="A62">
        <v>20</v>
      </c>
      <c r="B62" t="s">
        <v>128</v>
      </c>
      <c r="C62" t="s">
        <v>16</v>
      </c>
      <c r="D62">
        <v>20</v>
      </c>
      <c r="E62">
        <v>176</v>
      </c>
      <c r="F62">
        <v>85</v>
      </c>
      <c r="G62" t="s">
        <v>129</v>
      </c>
      <c r="H62" t="s">
        <v>130</v>
      </c>
      <c r="I62" t="s">
        <v>54</v>
      </c>
      <c r="J62">
        <v>1992</v>
      </c>
      <c r="K62" t="s">
        <v>49</v>
      </c>
      <c r="L62" t="s">
        <v>55</v>
      </c>
      <c r="M62" t="s">
        <v>131</v>
      </c>
      <c r="N62" t="s">
        <v>133</v>
      </c>
      <c r="O62" t="s">
        <v>43</v>
      </c>
    </row>
    <row r="63" spans="1:15" x14ac:dyDescent="0.3">
      <c r="A63">
        <v>20</v>
      </c>
      <c r="B63" t="s">
        <v>128</v>
      </c>
      <c r="C63" t="s">
        <v>16</v>
      </c>
      <c r="D63">
        <v>20</v>
      </c>
      <c r="E63">
        <v>176</v>
      </c>
      <c r="F63">
        <v>85</v>
      </c>
      <c r="G63" t="s">
        <v>129</v>
      </c>
      <c r="H63" t="s">
        <v>130</v>
      </c>
      <c r="I63" t="s">
        <v>54</v>
      </c>
      <c r="J63">
        <v>1992</v>
      </c>
      <c r="K63" t="s">
        <v>49</v>
      </c>
      <c r="L63" t="s">
        <v>55</v>
      </c>
      <c r="M63" t="s">
        <v>131</v>
      </c>
      <c r="N63" t="s">
        <v>134</v>
      </c>
      <c r="O63" t="s">
        <v>107</v>
      </c>
    </row>
    <row r="64" spans="1:15" x14ac:dyDescent="0.3">
      <c r="A64">
        <v>20</v>
      </c>
      <c r="B64" t="s">
        <v>128</v>
      </c>
      <c r="C64" t="s">
        <v>16</v>
      </c>
      <c r="D64">
        <v>20</v>
      </c>
      <c r="E64">
        <v>176</v>
      </c>
      <c r="F64">
        <v>85</v>
      </c>
      <c r="G64" t="s">
        <v>129</v>
      </c>
      <c r="H64" t="s">
        <v>130</v>
      </c>
      <c r="I64" t="s">
        <v>54</v>
      </c>
      <c r="J64">
        <v>1992</v>
      </c>
      <c r="K64" t="s">
        <v>49</v>
      </c>
      <c r="L64" t="s">
        <v>55</v>
      </c>
      <c r="M64" t="s">
        <v>131</v>
      </c>
      <c r="N64" t="s">
        <v>135</v>
      </c>
      <c r="O64" t="s">
        <v>24</v>
      </c>
    </row>
    <row r="65" spans="1:15" x14ac:dyDescent="0.3">
      <c r="A65">
        <v>20</v>
      </c>
      <c r="B65" t="s">
        <v>128</v>
      </c>
      <c r="C65" t="s">
        <v>16</v>
      </c>
      <c r="D65">
        <v>22</v>
      </c>
      <c r="E65">
        <v>176</v>
      </c>
      <c r="F65">
        <v>85</v>
      </c>
      <c r="G65" t="s">
        <v>129</v>
      </c>
      <c r="H65" t="s">
        <v>130</v>
      </c>
      <c r="I65" t="s">
        <v>56</v>
      </c>
      <c r="J65">
        <v>1994</v>
      </c>
      <c r="K65" t="s">
        <v>49</v>
      </c>
      <c r="L65" t="s">
        <v>57</v>
      </c>
      <c r="M65" t="s">
        <v>131</v>
      </c>
      <c r="N65" t="s">
        <v>132</v>
      </c>
      <c r="O65" t="s">
        <v>136</v>
      </c>
    </row>
    <row r="66" spans="1:15" x14ac:dyDescent="0.3">
      <c r="A66">
        <v>20</v>
      </c>
      <c r="B66" t="s">
        <v>128</v>
      </c>
      <c r="C66" t="s">
        <v>16</v>
      </c>
      <c r="D66">
        <v>22</v>
      </c>
      <c r="E66">
        <v>176</v>
      </c>
      <c r="F66">
        <v>85</v>
      </c>
      <c r="G66" t="s">
        <v>129</v>
      </c>
      <c r="H66" t="s">
        <v>130</v>
      </c>
      <c r="I66" t="s">
        <v>56</v>
      </c>
      <c r="J66">
        <v>1994</v>
      </c>
      <c r="K66" t="s">
        <v>49</v>
      </c>
      <c r="L66" t="s">
        <v>57</v>
      </c>
      <c r="M66" t="s">
        <v>131</v>
      </c>
      <c r="N66" t="s">
        <v>133</v>
      </c>
      <c r="O66" t="s">
        <v>107</v>
      </c>
    </row>
    <row r="67" spans="1:15" x14ac:dyDescent="0.3">
      <c r="A67">
        <v>20</v>
      </c>
      <c r="B67" t="s">
        <v>128</v>
      </c>
      <c r="C67" t="s">
        <v>16</v>
      </c>
      <c r="D67">
        <v>22</v>
      </c>
      <c r="E67">
        <v>176</v>
      </c>
      <c r="F67">
        <v>85</v>
      </c>
      <c r="G67" t="s">
        <v>129</v>
      </c>
      <c r="H67" t="s">
        <v>130</v>
      </c>
      <c r="I67" t="s">
        <v>56</v>
      </c>
      <c r="J67">
        <v>1994</v>
      </c>
      <c r="K67" t="s">
        <v>49</v>
      </c>
      <c r="L67" t="s">
        <v>57</v>
      </c>
      <c r="M67" t="s">
        <v>131</v>
      </c>
      <c r="N67" t="s">
        <v>134</v>
      </c>
      <c r="O67" t="s">
        <v>24</v>
      </c>
    </row>
    <row r="68" spans="1:15" x14ac:dyDescent="0.3">
      <c r="A68">
        <v>20</v>
      </c>
      <c r="B68" t="s">
        <v>128</v>
      </c>
      <c r="C68" t="s">
        <v>16</v>
      </c>
      <c r="D68">
        <v>22</v>
      </c>
      <c r="E68">
        <v>176</v>
      </c>
      <c r="F68">
        <v>85</v>
      </c>
      <c r="G68" t="s">
        <v>129</v>
      </c>
      <c r="H68" t="s">
        <v>130</v>
      </c>
      <c r="I68" t="s">
        <v>56</v>
      </c>
      <c r="J68">
        <v>1994</v>
      </c>
      <c r="K68" t="s">
        <v>49</v>
      </c>
      <c r="L68" t="s">
        <v>57</v>
      </c>
      <c r="M68" t="s">
        <v>131</v>
      </c>
      <c r="N68" t="s">
        <v>135</v>
      </c>
      <c r="O68" t="s">
        <v>24</v>
      </c>
    </row>
    <row r="69" spans="1:15" x14ac:dyDescent="0.3">
      <c r="A69">
        <v>20</v>
      </c>
      <c r="B69" t="s">
        <v>128</v>
      </c>
      <c r="C69" t="s">
        <v>16</v>
      </c>
      <c r="D69">
        <v>22</v>
      </c>
      <c r="E69">
        <v>176</v>
      </c>
      <c r="F69">
        <v>85</v>
      </c>
      <c r="G69" t="s">
        <v>129</v>
      </c>
      <c r="H69" t="s">
        <v>130</v>
      </c>
      <c r="I69" t="s">
        <v>56</v>
      </c>
      <c r="J69">
        <v>1994</v>
      </c>
      <c r="K69" t="s">
        <v>49</v>
      </c>
      <c r="L69" t="s">
        <v>57</v>
      </c>
      <c r="M69" t="s">
        <v>131</v>
      </c>
      <c r="N69" t="s">
        <v>137</v>
      </c>
      <c r="O69" t="s">
        <v>136</v>
      </c>
    </row>
    <row r="70" spans="1:15" x14ac:dyDescent="0.3">
      <c r="A70">
        <v>20</v>
      </c>
      <c r="B70" t="s">
        <v>128</v>
      </c>
      <c r="C70" t="s">
        <v>16</v>
      </c>
      <c r="D70">
        <v>26</v>
      </c>
      <c r="E70">
        <v>176</v>
      </c>
      <c r="F70">
        <v>85</v>
      </c>
      <c r="G70" t="s">
        <v>129</v>
      </c>
      <c r="H70" t="s">
        <v>130</v>
      </c>
      <c r="I70" t="s">
        <v>138</v>
      </c>
      <c r="J70">
        <v>1998</v>
      </c>
      <c r="K70" t="s">
        <v>49</v>
      </c>
      <c r="L70" t="s">
        <v>139</v>
      </c>
      <c r="M70" t="s">
        <v>131</v>
      </c>
      <c r="N70" t="s">
        <v>132</v>
      </c>
      <c r="O70" t="s">
        <v>24</v>
      </c>
    </row>
    <row r="71" spans="1:15" x14ac:dyDescent="0.3">
      <c r="A71">
        <v>20</v>
      </c>
      <c r="B71" t="s">
        <v>128</v>
      </c>
      <c r="C71" t="s">
        <v>16</v>
      </c>
      <c r="D71">
        <v>26</v>
      </c>
      <c r="E71">
        <v>176</v>
      </c>
      <c r="F71">
        <v>85</v>
      </c>
      <c r="G71" t="s">
        <v>129</v>
      </c>
      <c r="H71" t="s">
        <v>130</v>
      </c>
      <c r="I71" t="s">
        <v>138</v>
      </c>
      <c r="J71">
        <v>1998</v>
      </c>
      <c r="K71" t="s">
        <v>49</v>
      </c>
      <c r="L71" t="s">
        <v>139</v>
      </c>
      <c r="M71" t="s">
        <v>131</v>
      </c>
      <c r="N71" t="s">
        <v>133</v>
      </c>
      <c r="O71" t="s">
        <v>24</v>
      </c>
    </row>
    <row r="72" spans="1:15" x14ac:dyDescent="0.3">
      <c r="A72">
        <v>20</v>
      </c>
      <c r="B72" t="s">
        <v>128</v>
      </c>
      <c r="C72" t="s">
        <v>16</v>
      </c>
      <c r="D72">
        <v>26</v>
      </c>
      <c r="E72">
        <v>176</v>
      </c>
      <c r="F72">
        <v>85</v>
      </c>
      <c r="G72" t="s">
        <v>129</v>
      </c>
      <c r="H72" t="s">
        <v>130</v>
      </c>
      <c r="I72" t="s">
        <v>138</v>
      </c>
      <c r="J72">
        <v>1998</v>
      </c>
      <c r="K72" t="s">
        <v>49</v>
      </c>
      <c r="L72" t="s">
        <v>139</v>
      </c>
      <c r="M72" t="s">
        <v>131</v>
      </c>
      <c r="N72" t="s">
        <v>134</v>
      </c>
      <c r="O72" t="s">
        <v>24</v>
      </c>
    </row>
    <row r="73" spans="1:15" x14ac:dyDescent="0.3">
      <c r="A73">
        <v>20</v>
      </c>
      <c r="B73" t="s">
        <v>128</v>
      </c>
      <c r="C73" t="s">
        <v>16</v>
      </c>
      <c r="D73">
        <v>26</v>
      </c>
      <c r="E73">
        <v>176</v>
      </c>
      <c r="F73">
        <v>85</v>
      </c>
      <c r="G73" t="s">
        <v>129</v>
      </c>
      <c r="H73" t="s">
        <v>130</v>
      </c>
      <c r="I73" t="s">
        <v>138</v>
      </c>
      <c r="J73">
        <v>1998</v>
      </c>
      <c r="K73" t="s">
        <v>49</v>
      </c>
      <c r="L73" t="s">
        <v>139</v>
      </c>
      <c r="M73" t="s">
        <v>131</v>
      </c>
      <c r="N73" t="s">
        <v>137</v>
      </c>
      <c r="O73" t="s">
        <v>24</v>
      </c>
    </row>
    <row r="74" spans="1:15" x14ac:dyDescent="0.3">
      <c r="A74">
        <v>20</v>
      </c>
      <c r="B74" t="s">
        <v>128</v>
      </c>
      <c r="C74" t="s">
        <v>16</v>
      </c>
      <c r="D74">
        <v>30</v>
      </c>
      <c r="E74">
        <v>176</v>
      </c>
      <c r="F74">
        <v>85</v>
      </c>
      <c r="G74" t="s">
        <v>129</v>
      </c>
      <c r="H74" t="s">
        <v>130</v>
      </c>
      <c r="I74" t="s">
        <v>77</v>
      </c>
      <c r="J74">
        <v>2002</v>
      </c>
      <c r="K74" t="s">
        <v>49</v>
      </c>
      <c r="L74" t="s">
        <v>78</v>
      </c>
      <c r="M74" t="s">
        <v>131</v>
      </c>
      <c r="N74" t="s">
        <v>132</v>
      </c>
      <c r="O74" t="s">
        <v>24</v>
      </c>
    </row>
    <row r="75" spans="1:15" x14ac:dyDescent="0.3">
      <c r="A75">
        <v>20</v>
      </c>
      <c r="B75" t="s">
        <v>128</v>
      </c>
      <c r="C75" t="s">
        <v>16</v>
      </c>
      <c r="D75">
        <v>30</v>
      </c>
      <c r="E75">
        <v>176</v>
      </c>
      <c r="F75">
        <v>85</v>
      </c>
      <c r="G75" t="s">
        <v>129</v>
      </c>
      <c r="H75" t="s">
        <v>130</v>
      </c>
      <c r="I75" t="s">
        <v>77</v>
      </c>
      <c r="J75">
        <v>2002</v>
      </c>
      <c r="K75" t="s">
        <v>49</v>
      </c>
      <c r="L75" t="s">
        <v>78</v>
      </c>
      <c r="M75" t="s">
        <v>131</v>
      </c>
      <c r="N75" t="s">
        <v>133</v>
      </c>
      <c r="O75" t="s">
        <v>43</v>
      </c>
    </row>
    <row r="76" spans="1:15" x14ac:dyDescent="0.3">
      <c r="A76">
        <v>20</v>
      </c>
      <c r="B76" t="s">
        <v>128</v>
      </c>
      <c r="C76" t="s">
        <v>16</v>
      </c>
      <c r="D76">
        <v>30</v>
      </c>
      <c r="E76">
        <v>176</v>
      </c>
      <c r="F76">
        <v>85</v>
      </c>
      <c r="G76" t="s">
        <v>129</v>
      </c>
      <c r="H76" t="s">
        <v>130</v>
      </c>
      <c r="I76" t="s">
        <v>77</v>
      </c>
      <c r="J76">
        <v>2002</v>
      </c>
      <c r="K76" t="s">
        <v>49</v>
      </c>
      <c r="L76" t="s">
        <v>78</v>
      </c>
      <c r="M76" t="s">
        <v>131</v>
      </c>
      <c r="N76" t="s">
        <v>134</v>
      </c>
      <c r="O76" t="s">
        <v>24</v>
      </c>
    </row>
    <row r="77" spans="1:15" x14ac:dyDescent="0.3">
      <c r="A77">
        <v>20</v>
      </c>
      <c r="B77" t="s">
        <v>128</v>
      </c>
      <c r="C77" t="s">
        <v>16</v>
      </c>
      <c r="D77">
        <v>30</v>
      </c>
      <c r="E77">
        <v>176</v>
      </c>
      <c r="F77">
        <v>85</v>
      </c>
      <c r="G77" t="s">
        <v>129</v>
      </c>
      <c r="H77" t="s">
        <v>130</v>
      </c>
      <c r="I77" t="s">
        <v>77</v>
      </c>
      <c r="J77">
        <v>2002</v>
      </c>
      <c r="K77" t="s">
        <v>49</v>
      </c>
      <c r="L77" t="s">
        <v>78</v>
      </c>
      <c r="M77" t="s">
        <v>131</v>
      </c>
      <c r="N77" t="s">
        <v>135</v>
      </c>
      <c r="O77" t="s">
        <v>24</v>
      </c>
    </row>
    <row r="78" spans="1:15" x14ac:dyDescent="0.3">
      <c r="A78">
        <v>20</v>
      </c>
      <c r="B78" t="s">
        <v>128</v>
      </c>
      <c r="C78" t="s">
        <v>16</v>
      </c>
      <c r="D78">
        <v>30</v>
      </c>
      <c r="E78">
        <v>176</v>
      </c>
      <c r="F78">
        <v>85</v>
      </c>
      <c r="G78" t="s">
        <v>129</v>
      </c>
      <c r="H78" t="s">
        <v>130</v>
      </c>
      <c r="I78" t="s">
        <v>77</v>
      </c>
      <c r="J78">
        <v>2002</v>
      </c>
      <c r="K78" t="s">
        <v>49</v>
      </c>
      <c r="L78" t="s">
        <v>78</v>
      </c>
      <c r="M78" t="s">
        <v>131</v>
      </c>
      <c r="N78" t="s">
        <v>137</v>
      </c>
      <c r="O78" t="s">
        <v>43</v>
      </c>
    </row>
    <row r="79" spans="1:15" x14ac:dyDescent="0.3">
      <c r="A79">
        <v>20</v>
      </c>
      <c r="B79" t="s">
        <v>128</v>
      </c>
      <c r="C79" t="s">
        <v>16</v>
      </c>
      <c r="D79">
        <v>34</v>
      </c>
      <c r="E79">
        <v>176</v>
      </c>
      <c r="F79">
        <v>85</v>
      </c>
      <c r="G79" t="s">
        <v>129</v>
      </c>
      <c r="H79" t="s">
        <v>130</v>
      </c>
      <c r="I79" t="s">
        <v>140</v>
      </c>
      <c r="J79">
        <v>2006</v>
      </c>
      <c r="K79" t="s">
        <v>49</v>
      </c>
      <c r="L79" t="s">
        <v>141</v>
      </c>
      <c r="M79" t="s">
        <v>131</v>
      </c>
      <c r="N79" t="s">
        <v>132</v>
      </c>
      <c r="O79" t="s">
        <v>24</v>
      </c>
    </row>
    <row r="80" spans="1:15" x14ac:dyDescent="0.3">
      <c r="A80">
        <v>20</v>
      </c>
      <c r="B80" t="s">
        <v>128</v>
      </c>
      <c r="C80" t="s">
        <v>16</v>
      </c>
      <c r="D80">
        <v>34</v>
      </c>
      <c r="E80">
        <v>176</v>
      </c>
      <c r="F80">
        <v>85</v>
      </c>
      <c r="G80" t="s">
        <v>129</v>
      </c>
      <c r="H80" t="s">
        <v>130</v>
      </c>
      <c r="I80" t="s">
        <v>140</v>
      </c>
      <c r="J80">
        <v>2006</v>
      </c>
      <c r="K80" t="s">
        <v>49</v>
      </c>
      <c r="L80" t="s">
        <v>141</v>
      </c>
      <c r="M80" t="s">
        <v>131</v>
      </c>
      <c r="N80" t="s">
        <v>133</v>
      </c>
      <c r="O80" t="s">
        <v>43</v>
      </c>
    </row>
    <row r="81" spans="1:15" x14ac:dyDescent="0.3">
      <c r="A81">
        <v>21</v>
      </c>
      <c r="B81" t="s">
        <v>142</v>
      </c>
      <c r="C81" t="s">
        <v>45</v>
      </c>
      <c r="D81">
        <v>27</v>
      </c>
      <c r="E81">
        <v>163</v>
      </c>
      <c r="F81" t="s">
        <v>24</v>
      </c>
      <c r="G81" t="s">
        <v>129</v>
      </c>
      <c r="H81" t="s">
        <v>130</v>
      </c>
      <c r="I81" t="s">
        <v>143</v>
      </c>
      <c r="J81">
        <v>2008</v>
      </c>
      <c r="K81" t="s">
        <v>20</v>
      </c>
      <c r="L81" t="s">
        <v>144</v>
      </c>
      <c r="M81" t="s">
        <v>145</v>
      </c>
      <c r="N81" t="s">
        <v>146</v>
      </c>
      <c r="O81" t="s">
        <v>43</v>
      </c>
    </row>
    <row r="82" spans="1:15" x14ac:dyDescent="0.3">
      <c r="A82">
        <v>22</v>
      </c>
      <c r="B82" t="s">
        <v>147</v>
      </c>
      <c r="C82" t="s">
        <v>45</v>
      </c>
      <c r="D82">
        <v>22</v>
      </c>
      <c r="E82">
        <v>170</v>
      </c>
      <c r="F82">
        <v>125</v>
      </c>
      <c r="G82" t="s">
        <v>148</v>
      </c>
      <c r="H82" t="s">
        <v>149</v>
      </c>
      <c r="I82" t="s">
        <v>150</v>
      </c>
      <c r="J82">
        <v>2016</v>
      </c>
      <c r="K82" t="s">
        <v>20</v>
      </c>
      <c r="L82" t="s">
        <v>151</v>
      </c>
      <c r="M82" t="s">
        <v>152</v>
      </c>
      <c r="N82" t="s">
        <v>153</v>
      </c>
      <c r="O82" t="s">
        <v>24</v>
      </c>
    </row>
    <row r="83" spans="1:15" x14ac:dyDescent="0.3">
      <c r="A83">
        <v>23</v>
      </c>
      <c r="B83" t="s">
        <v>154</v>
      </c>
      <c r="C83" t="s">
        <v>16</v>
      </c>
      <c r="D83">
        <v>22</v>
      </c>
      <c r="E83">
        <v>187</v>
      </c>
      <c r="F83">
        <v>89</v>
      </c>
      <c r="G83" t="s">
        <v>129</v>
      </c>
      <c r="H83" t="s">
        <v>130</v>
      </c>
      <c r="I83" t="s">
        <v>90</v>
      </c>
      <c r="J83">
        <v>2000</v>
      </c>
      <c r="K83" t="s">
        <v>20</v>
      </c>
      <c r="L83" t="s">
        <v>91</v>
      </c>
      <c r="M83" t="s">
        <v>155</v>
      </c>
      <c r="N83" t="s">
        <v>156</v>
      </c>
      <c r="O83" t="s">
        <v>24</v>
      </c>
    </row>
    <row r="84" spans="1:15" x14ac:dyDescent="0.3">
      <c r="A84">
        <v>23</v>
      </c>
      <c r="B84" t="s">
        <v>154</v>
      </c>
      <c r="C84" t="s">
        <v>16</v>
      </c>
      <c r="D84">
        <v>26</v>
      </c>
      <c r="E84">
        <v>187</v>
      </c>
      <c r="F84">
        <v>89</v>
      </c>
      <c r="G84" t="s">
        <v>129</v>
      </c>
      <c r="H84" t="s">
        <v>130</v>
      </c>
      <c r="I84" t="s">
        <v>157</v>
      </c>
      <c r="J84">
        <v>2004</v>
      </c>
      <c r="K84" t="s">
        <v>20</v>
      </c>
      <c r="L84" t="s">
        <v>158</v>
      </c>
      <c r="M84" t="s">
        <v>155</v>
      </c>
      <c r="N84" t="s">
        <v>156</v>
      </c>
      <c r="O84" t="s">
        <v>24</v>
      </c>
    </row>
    <row r="85" spans="1:15" x14ac:dyDescent="0.3">
      <c r="A85">
        <v>24</v>
      </c>
      <c r="B85" t="s">
        <v>159</v>
      </c>
      <c r="C85" t="s">
        <v>16</v>
      </c>
      <c r="D85">
        <v>24</v>
      </c>
      <c r="E85" t="s">
        <v>24</v>
      </c>
      <c r="F85" t="s">
        <v>24</v>
      </c>
      <c r="G85" t="s">
        <v>129</v>
      </c>
      <c r="H85" t="s">
        <v>130</v>
      </c>
      <c r="I85" t="s">
        <v>160</v>
      </c>
      <c r="J85">
        <v>1960</v>
      </c>
      <c r="K85" t="s">
        <v>49</v>
      </c>
      <c r="L85" t="s">
        <v>161</v>
      </c>
      <c r="M85" t="s">
        <v>51</v>
      </c>
      <c r="N85" t="s">
        <v>162</v>
      </c>
      <c r="O85" t="s">
        <v>24</v>
      </c>
    </row>
    <row r="86" spans="1:15" x14ac:dyDescent="0.3">
      <c r="A86">
        <v>24</v>
      </c>
      <c r="B86" t="s">
        <v>159</v>
      </c>
      <c r="C86" t="s">
        <v>16</v>
      </c>
      <c r="D86">
        <v>24</v>
      </c>
      <c r="E86" t="s">
        <v>24</v>
      </c>
      <c r="F86" t="s">
        <v>24</v>
      </c>
      <c r="G86" t="s">
        <v>129</v>
      </c>
      <c r="H86" t="s">
        <v>130</v>
      </c>
      <c r="I86" t="s">
        <v>160</v>
      </c>
      <c r="J86">
        <v>1960</v>
      </c>
      <c r="K86" t="s">
        <v>49</v>
      </c>
      <c r="L86" t="s">
        <v>161</v>
      </c>
      <c r="M86" t="s">
        <v>51</v>
      </c>
      <c r="N86" t="s">
        <v>163</v>
      </c>
      <c r="O86" t="s">
        <v>24</v>
      </c>
    </row>
    <row r="87" spans="1:15" x14ac:dyDescent="0.3">
      <c r="A87">
        <v>24</v>
      </c>
      <c r="B87" t="s">
        <v>159</v>
      </c>
      <c r="C87" t="s">
        <v>16</v>
      </c>
      <c r="D87">
        <v>27</v>
      </c>
      <c r="E87" t="s">
        <v>24</v>
      </c>
      <c r="F87" t="s">
        <v>24</v>
      </c>
      <c r="G87" t="s">
        <v>129</v>
      </c>
      <c r="H87" t="s">
        <v>130</v>
      </c>
      <c r="I87" t="s">
        <v>164</v>
      </c>
      <c r="J87">
        <v>1964</v>
      </c>
      <c r="K87" t="s">
        <v>49</v>
      </c>
      <c r="L87" t="s">
        <v>165</v>
      </c>
      <c r="M87" t="s">
        <v>51</v>
      </c>
      <c r="N87" t="s">
        <v>163</v>
      </c>
      <c r="O87" t="s">
        <v>24</v>
      </c>
    </row>
    <row r="88" spans="1:15" x14ac:dyDescent="0.3">
      <c r="A88">
        <v>25</v>
      </c>
      <c r="B88" t="s">
        <v>166</v>
      </c>
      <c r="C88" t="s">
        <v>16</v>
      </c>
      <c r="D88">
        <v>24</v>
      </c>
      <c r="E88" t="s">
        <v>24</v>
      </c>
      <c r="F88" t="s">
        <v>24</v>
      </c>
      <c r="G88" t="s">
        <v>129</v>
      </c>
      <c r="H88" t="s">
        <v>130</v>
      </c>
      <c r="I88" t="s">
        <v>33</v>
      </c>
      <c r="J88">
        <v>1920</v>
      </c>
      <c r="K88" t="s">
        <v>20</v>
      </c>
      <c r="L88" t="s">
        <v>34</v>
      </c>
      <c r="M88" t="s">
        <v>114</v>
      </c>
      <c r="N88" t="s">
        <v>167</v>
      </c>
      <c r="O88" t="s">
        <v>136</v>
      </c>
    </row>
    <row r="89" spans="1:15" x14ac:dyDescent="0.3">
      <c r="A89">
        <v>26</v>
      </c>
      <c r="B89" t="s">
        <v>168</v>
      </c>
      <c r="C89" t="s">
        <v>45</v>
      </c>
      <c r="D89">
        <v>17</v>
      </c>
      <c r="E89">
        <v>169</v>
      </c>
      <c r="F89">
        <v>65</v>
      </c>
      <c r="G89" t="s">
        <v>129</v>
      </c>
      <c r="H89" t="s">
        <v>130</v>
      </c>
      <c r="I89" t="s">
        <v>169</v>
      </c>
      <c r="J89">
        <v>1984</v>
      </c>
      <c r="K89" t="s">
        <v>49</v>
      </c>
      <c r="L89" t="s">
        <v>170</v>
      </c>
      <c r="M89" t="s">
        <v>171</v>
      </c>
      <c r="N89" t="s">
        <v>172</v>
      </c>
      <c r="O89" t="s">
        <v>24</v>
      </c>
    </row>
    <row r="90" spans="1:15" x14ac:dyDescent="0.3">
      <c r="A90">
        <v>27</v>
      </c>
      <c r="B90" t="s">
        <v>173</v>
      </c>
      <c r="C90" t="s">
        <v>16</v>
      </c>
      <c r="D90">
        <v>26</v>
      </c>
      <c r="E90" t="s">
        <v>24</v>
      </c>
      <c r="F90" t="s">
        <v>24</v>
      </c>
      <c r="G90" t="s">
        <v>46</v>
      </c>
      <c r="H90" t="s">
        <v>47</v>
      </c>
      <c r="I90" t="s">
        <v>174</v>
      </c>
      <c r="J90">
        <v>1984</v>
      </c>
      <c r="K90" t="s">
        <v>20</v>
      </c>
      <c r="L90" t="s">
        <v>70</v>
      </c>
      <c r="M90" t="s">
        <v>175</v>
      </c>
      <c r="N90" t="s">
        <v>176</v>
      </c>
      <c r="O90" t="s">
        <v>24</v>
      </c>
    </row>
    <row r="91" spans="1:15" x14ac:dyDescent="0.3">
      <c r="A91">
        <v>28</v>
      </c>
      <c r="B91" t="s">
        <v>177</v>
      </c>
      <c r="C91" t="s">
        <v>16</v>
      </c>
      <c r="D91">
        <v>43</v>
      </c>
      <c r="E91">
        <v>170</v>
      </c>
      <c r="F91">
        <v>77</v>
      </c>
      <c r="G91" t="s">
        <v>129</v>
      </c>
      <c r="H91" t="s">
        <v>130</v>
      </c>
      <c r="I91" t="s">
        <v>178</v>
      </c>
      <c r="J91">
        <v>1968</v>
      </c>
      <c r="K91" t="s">
        <v>20</v>
      </c>
      <c r="L91" t="s">
        <v>179</v>
      </c>
      <c r="M91" t="s">
        <v>97</v>
      </c>
      <c r="N91" t="s">
        <v>180</v>
      </c>
      <c r="O91" t="s">
        <v>24</v>
      </c>
    </row>
    <row r="92" spans="1:15" x14ac:dyDescent="0.3">
      <c r="A92">
        <v>28</v>
      </c>
      <c r="B92" t="s">
        <v>177</v>
      </c>
      <c r="C92" t="s">
        <v>16</v>
      </c>
      <c r="D92">
        <v>47</v>
      </c>
      <c r="E92">
        <v>170</v>
      </c>
      <c r="F92">
        <v>77</v>
      </c>
      <c r="G92" t="s">
        <v>129</v>
      </c>
      <c r="H92" t="s">
        <v>130</v>
      </c>
      <c r="I92" t="s">
        <v>181</v>
      </c>
      <c r="J92">
        <v>1972</v>
      </c>
      <c r="K92" t="s">
        <v>20</v>
      </c>
      <c r="L92" t="s">
        <v>182</v>
      </c>
      <c r="M92" t="s">
        <v>97</v>
      </c>
      <c r="N92" t="s">
        <v>180</v>
      </c>
      <c r="O92" t="s">
        <v>24</v>
      </c>
    </row>
    <row r="93" spans="1:15" x14ac:dyDescent="0.3">
      <c r="A93">
        <v>29</v>
      </c>
      <c r="B93" t="s">
        <v>183</v>
      </c>
      <c r="C93" t="s">
        <v>45</v>
      </c>
      <c r="D93">
        <v>22</v>
      </c>
      <c r="E93" t="s">
        <v>24</v>
      </c>
      <c r="F93" t="s">
        <v>24</v>
      </c>
      <c r="G93" t="s">
        <v>46</v>
      </c>
      <c r="H93" t="s">
        <v>47</v>
      </c>
      <c r="I93" t="s">
        <v>184</v>
      </c>
      <c r="J93">
        <v>1988</v>
      </c>
      <c r="K93" t="s">
        <v>20</v>
      </c>
      <c r="L93" t="s">
        <v>185</v>
      </c>
      <c r="M93" t="s">
        <v>186</v>
      </c>
      <c r="N93" t="s">
        <v>187</v>
      </c>
      <c r="O93" t="s">
        <v>107</v>
      </c>
    </row>
    <row r="94" spans="1:15" x14ac:dyDescent="0.3">
      <c r="A94">
        <v>30</v>
      </c>
      <c r="B94" t="s">
        <v>188</v>
      </c>
      <c r="C94" t="s">
        <v>16</v>
      </c>
      <c r="D94">
        <v>26</v>
      </c>
      <c r="E94">
        <v>189</v>
      </c>
      <c r="F94">
        <v>72</v>
      </c>
      <c r="G94" t="s">
        <v>46</v>
      </c>
      <c r="H94" t="s">
        <v>47</v>
      </c>
      <c r="I94" t="s">
        <v>95</v>
      </c>
      <c r="J94">
        <v>1996</v>
      </c>
      <c r="K94" t="s">
        <v>20</v>
      </c>
      <c r="L94" t="s">
        <v>96</v>
      </c>
      <c r="M94" t="s">
        <v>189</v>
      </c>
      <c r="N94" t="s">
        <v>190</v>
      </c>
      <c r="O94" t="s">
        <v>136</v>
      </c>
    </row>
    <row r="95" spans="1:15" x14ac:dyDescent="0.3">
      <c r="A95">
        <v>30</v>
      </c>
      <c r="B95" t="s">
        <v>188</v>
      </c>
      <c r="C95" t="s">
        <v>16</v>
      </c>
      <c r="D95">
        <v>30</v>
      </c>
      <c r="E95">
        <v>189</v>
      </c>
      <c r="F95">
        <v>72</v>
      </c>
      <c r="G95" t="s">
        <v>46</v>
      </c>
      <c r="H95" t="s">
        <v>47</v>
      </c>
      <c r="I95" t="s">
        <v>90</v>
      </c>
      <c r="J95">
        <v>2000</v>
      </c>
      <c r="K95" t="s">
        <v>20</v>
      </c>
      <c r="L95" t="s">
        <v>91</v>
      </c>
      <c r="M95" t="s">
        <v>189</v>
      </c>
      <c r="N95" t="s">
        <v>190</v>
      </c>
      <c r="O95" t="s">
        <v>24</v>
      </c>
    </row>
    <row r="96" spans="1:15" x14ac:dyDescent="0.3">
      <c r="A96">
        <v>31</v>
      </c>
      <c r="B96" t="s">
        <v>191</v>
      </c>
      <c r="C96" t="s">
        <v>16</v>
      </c>
      <c r="D96">
        <v>24</v>
      </c>
      <c r="E96">
        <v>174</v>
      </c>
      <c r="F96">
        <v>70</v>
      </c>
      <c r="G96" t="s">
        <v>192</v>
      </c>
      <c r="H96" t="s">
        <v>193</v>
      </c>
      <c r="I96" t="s">
        <v>194</v>
      </c>
      <c r="J96">
        <v>1936</v>
      </c>
      <c r="K96" t="s">
        <v>20</v>
      </c>
      <c r="L96" t="s">
        <v>195</v>
      </c>
      <c r="M96" t="s">
        <v>71</v>
      </c>
      <c r="N96" t="s">
        <v>196</v>
      </c>
      <c r="O96" t="s">
        <v>24</v>
      </c>
    </row>
    <row r="97" spans="1:15" x14ac:dyDescent="0.3">
      <c r="A97">
        <v>32</v>
      </c>
      <c r="B97" t="s">
        <v>197</v>
      </c>
      <c r="C97" t="s">
        <v>16</v>
      </c>
      <c r="D97">
        <v>23</v>
      </c>
      <c r="E97" t="s">
        <v>24</v>
      </c>
      <c r="F97" t="s">
        <v>24</v>
      </c>
      <c r="G97" t="s">
        <v>129</v>
      </c>
      <c r="H97" t="s">
        <v>130</v>
      </c>
      <c r="I97" t="s">
        <v>103</v>
      </c>
      <c r="J97">
        <v>1912</v>
      </c>
      <c r="K97" t="s">
        <v>20</v>
      </c>
      <c r="L97" t="s">
        <v>104</v>
      </c>
      <c r="M97" t="s">
        <v>71</v>
      </c>
      <c r="N97" t="s">
        <v>198</v>
      </c>
      <c r="O97" t="s">
        <v>24</v>
      </c>
    </row>
    <row r="98" spans="1:15" x14ac:dyDescent="0.3">
      <c r="A98">
        <v>33</v>
      </c>
      <c r="B98" t="s">
        <v>199</v>
      </c>
      <c r="C98" t="s">
        <v>16</v>
      </c>
      <c r="D98">
        <v>24</v>
      </c>
      <c r="E98">
        <v>187</v>
      </c>
      <c r="F98">
        <v>76</v>
      </c>
      <c r="G98" t="s">
        <v>75</v>
      </c>
      <c r="H98" t="s">
        <v>76</v>
      </c>
      <c r="I98" t="s">
        <v>19</v>
      </c>
      <c r="J98">
        <v>1992</v>
      </c>
      <c r="K98" t="s">
        <v>20</v>
      </c>
      <c r="L98" t="s">
        <v>21</v>
      </c>
      <c r="M98" t="s">
        <v>97</v>
      </c>
      <c r="N98" t="s">
        <v>200</v>
      </c>
      <c r="O98" t="s">
        <v>24</v>
      </c>
    </row>
    <row r="99" spans="1:15" x14ac:dyDescent="0.3">
      <c r="A99">
        <v>33</v>
      </c>
      <c r="B99" t="s">
        <v>199</v>
      </c>
      <c r="C99" t="s">
        <v>16</v>
      </c>
      <c r="D99">
        <v>28</v>
      </c>
      <c r="E99">
        <v>187</v>
      </c>
      <c r="F99">
        <v>76</v>
      </c>
      <c r="G99" t="s">
        <v>75</v>
      </c>
      <c r="H99" t="s">
        <v>76</v>
      </c>
      <c r="I99" t="s">
        <v>95</v>
      </c>
      <c r="J99">
        <v>1996</v>
      </c>
      <c r="K99" t="s">
        <v>20</v>
      </c>
      <c r="L99" t="s">
        <v>96</v>
      </c>
      <c r="M99" t="s">
        <v>97</v>
      </c>
      <c r="N99" t="s">
        <v>200</v>
      </c>
      <c r="O99" t="s">
        <v>24</v>
      </c>
    </row>
    <row r="100" spans="1:15" x14ac:dyDescent="0.3">
      <c r="A100">
        <v>34</v>
      </c>
      <c r="B100" t="s">
        <v>201</v>
      </c>
      <c r="C100" t="s">
        <v>16</v>
      </c>
      <c r="D100">
        <v>30</v>
      </c>
      <c r="E100">
        <v>187</v>
      </c>
      <c r="F100">
        <v>76</v>
      </c>
      <c r="G100" t="s">
        <v>202</v>
      </c>
      <c r="H100" t="s">
        <v>203</v>
      </c>
      <c r="I100" t="s">
        <v>26</v>
      </c>
      <c r="J100">
        <v>2012</v>
      </c>
      <c r="K100" t="s">
        <v>20</v>
      </c>
      <c r="L100" t="s">
        <v>27</v>
      </c>
      <c r="M100" t="s">
        <v>71</v>
      </c>
      <c r="N100" t="s">
        <v>204</v>
      </c>
      <c r="O100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C62F-81A2-4AF0-97A2-1107BBFC4E96}">
  <dimension ref="A1:P100"/>
  <sheetViews>
    <sheetView topLeftCell="A70" workbookViewId="0">
      <selection activeCell="L21" sqref="L21"/>
    </sheetView>
  </sheetViews>
  <sheetFormatPr baseColWidth="10" defaultRowHeight="14.4" x14ac:dyDescent="0.3"/>
  <sheetData>
    <row r="1" spans="1:16" x14ac:dyDescent="0.3">
      <c r="A1" t="s">
        <v>313</v>
      </c>
      <c r="B1" t="s">
        <v>305</v>
      </c>
      <c r="C1" t="s">
        <v>314</v>
      </c>
      <c r="D1" t="s">
        <v>315</v>
      </c>
      <c r="E1" t="s">
        <v>316</v>
      </c>
      <c r="F1" t="s">
        <v>317</v>
      </c>
      <c r="G1" t="s">
        <v>283</v>
      </c>
      <c r="H1" t="s">
        <v>208</v>
      </c>
      <c r="I1" t="s">
        <v>318</v>
      </c>
      <c r="J1" t="s">
        <v>319</v>
      </c>
      <c r="K1" t="s">
        <v>320</v>
      </c>
      <c r="L1" t="s">
        <v>321</v>
      </c>
      <c r="M1" t="s">
        <v>322</v>
      </c>
      <c r="N1" t="s">
        <v>285</v>
      </c>
      <c r="O1" t="s">
        <v>323</v>
      </c>
      <c r="P1" t="s">
        <v>324</v>
      </c>
    </row>
    <row r="2" spans="1:16" x14ac:dyDescent="0.3">
      <c r="A2" t="s">
        <v>325</v>
      </c>
      <c r="B2" t="s">
        <v>326</v>
      </c>
      <c r="C2" t="s">
        <v>327</v>
      </c>
      <c r="D2" t="s">
        <v>328</v>
      </c>
      <c r="E2" t="s">
        <v>329</v>
      </c>
      <c r="F2" t="s">
        <v>330</v>
      </c>
      <c r="G2" t="s">
        <v>202</v>
      </c>
      <c r="H2">
        <v>1</v>
      </c>
    </row>
    <row r="3" spans="1:16" x14ac:dyDescent="0.3">
      <c r="A3" t="s">
        <v>325</v>
      </c>
      <c r="B3" t="s">
        <v>326</v>
      </c>
      <c r="C3" t="s">
        <v>331</v>
      </c>
      <c r="D3" t="s">
        <v>332</v>
      </c>
      <c r="E3" t="s">
        <v>333</v>
      </c>
      <c r="G3" t="s">
        <v>202</v>
      </c>
      <c r="H3">
        <v>2</v>
      </c>
      <c r="I3" t="s">
        <v>334</v>
      </c>
      <c r="J3" t="s">
        <v>335</v>
      </c>
    </row>
    <row r="4" spans="1:16" x14ac:dyDescent="0.3">
      <c r="A4" t="s">
        <v>336</v>
      </c>
      <c r="B4" t="s">
        <v>326</v>
      </c>
      <c r="C4" t="s">
        <v>337</v>
      </c>
      <c r="D4" t="s">
        <v>338</v>
      </c>
      <c r="E4" t="s">
        <v>339</v>
      </c>
      <c r="F4" t="s">
        <v>340</v>
      </c>
      <c r="G4" t="s">
        <v>202</v>
      </c>
      <c r="H4">
        <v>3</v>
      </c>
      <c r="I4" t="s">
        <v>334</v>
      </c>
      <c r="J4" t="s">
        <v>341</v>
      </c>
      <c r="K4" t="s">
        <v>342</v>
      </c>
    </row>
    <row r="5" spans="1:16" x14ac:dyDescent="0.3">
      <c r="A5" t="s">
        <v>325</v>
      </c>
      <c r="B5" t="s">
        <v>326</v>
      </c>
      <c r="C5" t="s">
        <v>343</v>
      </c>
      <c r="D5" t="s">
        <v>344</v>
      </c>
      <c r="E5" t="s">
        <v>345</v>
      </c>
      <c r="F5" t="s">
        <v>346</v>
      </c>
      <c r="G5" t="s">
        <v>202</v>
      </c>
      <c r="H5">
        <v>4</v>
      </c>
      <c r="I5" t="s">
        <v>347</v>
      </c>
      <c r="J5" t="s">
        <v>348</v>
      </c>
      <c r="K5" t="s">
        <v>349</v>
      </c>
    </row>
    <row r="6" spans="1:16" x14ac:dyDescent="0.3">
      <c r="A6" t="s">
        <v>325</v>
      </c>
      <c r="B6" t="s">
        <v>326</v>
      </c>
      <c r="C6" t="s">
        <v>350</v>
      </c>
      <c r="D6" t="s">
        <v>351</v>
      </c>
      <c r="E6" t="s">
        <v>352</v>
      </c>
      <c r="F6" t="s">
        <v>353</v>
      </c>
      <c r="G6" t="s">
        <v>202</v>
      </c>
      <c r="H6">
        <v>5</v>
      </c>
      <c r="J6" t="s">
        <v>341</v>
      </c>
    </row>
    <row r="7" spans="1:16" x14ac:dyDescent="0.3">
      <c r="A7" t="s">
        <v>325</v>
      </c>
      <c r="B7" t="s">
        <v>326</v>
      </c>
      <c r="C7" t="s">
        <v>354</v>
      </c>
      <c r="D7" t="s">
        <v>354</v>
      </c>
      <c r="E7" t="s">
        <v>355</v>
      </c>
      <c r="G7" t="s">
        <v>202</v>
      </c>
      <c r="H7">
        <v>6</v>
      </c>
      <c r="I7" t="s">
        <v>356</v>
      </c>
      <c r="J7" t="s">
        <v>357</v>
      </c>
    </row>
    <row r="8" spans="1:16" x14ac:dyDescent="0.3">
      <c r="A8" t="s">
        <v>325</v>
      </c>
      <c r="B8" t="s">
        <v>326</v>
      </c>
      <c r="C8" t="s">
        <v>358</v>
      </c>
      <c r="D8" t="s">
        <v>358</v>
      </c>
      <c r="E8" t="s">
        <v>359</v>
      </c>
      <c r="G8" t="s">
        <v>202</v>
      </c>
      <c r="H8">
        <v>7</v>
      </c>
      <c r="I8" t="s">
        <v>360</v>
      </c>
      <c r="J8" t="s">
        <v>361</v>
      </c>
    </row>
    <row r="9" spans="1:16" x14ac:dyDescent="0.3">
      <c r="A9" t="s">
        <v>325</v>
      </c>
      <c r="B9" t="s">
        <v>326</v>
      </c>
      <c r="C9" t="s">
        <v>362</v>
      </c>
      <c r="D9" t="s">
        <v>363</v>
      </c>
      <c r="E9" t="s">
        <v>364</v>
      </c>
      <c r="F9" t="s">
        <v>365</v>
      </c>
      <c r="G9" t="s">
        <v>202</v>
      </c>
      <c r="H9">
        <v>8</v>
      </c>
      <c r="K9" t="s">
        <v>366</v>
      </c>
    </row>
    <row r="10" spans="1:16" x14ac:dyDescent="0.3">
      <c r="A10" t="s">
        <v>325</v>
      </c>
      <c r="B10" t="s">
        <v>326</v>
      </c>
      <c r="C10" t="s">
        <v>367</v>
      </c>
      <c r="D10" t="s">
        <v>367</v>
      </c>
      <c r="E10" t="s">
        <v>368</v>
      </c>
      <c r="F10" t="s">
        <v>369</v>
      </c>
      <c r="G10" t="s">
        <v>202</v>
      </c>
      <c r="H10">
        <v>9</v>
      </c>
    </row>
    <row r="11" spans="1:16" x14ac:dyDescent="0.3">
      <c r="A11" t="s">
        <v>325</v>
      </c>
      <c r="B11" t="s">
        <v>326</v>
      </c>
      <c r="C11" t="s">
        <v>370</v>
      </c>
      <c r="D11" t="s">
        <v>371</v>
      </c>
      <c r="E11" t="s">
        <v>372</v>
      </c>
      <c r="F11" s="1">
        <v>8640</v>
      </c>
      <c r="G11" t="s">
        <v>202</v>
      </c>
      <c r="H11">
        <v>10</v>
      </c>
    </row>
    <row r="12" spans="1:16" x14ac:dyDescent="0.3">
      <c r="A12" t="s">
        <v>325</v>
      </c>
      <c r="B12" t="s">
        <v>326</v>
      </c>
      <c r="C12" t="s">
        <v>373</v>
      </c>
      <c r="D12" t="s">
        <v>374</v>
      </c>
      <c r="E12" t="s">
        <v>375</v>
      </c>
      <c r="F12" t="s">
        <v>376</v>
      </c>
      <c r="G12" t="s">
        <v>202</v>
      </c>
      <c r="H12">
        <v>11</v>
      </c>
      <c r="L12" t="s">
        <v>377</v>
      </c>
    </row>
    <row r="13" spans="1:16" x14ac:dyDescent="0.3">
      <c r="A13" t="s">
        <v>378</v>
      </c>
      <c r="B13" t="s">
        <v>326</v>
      </c>
      <c r="C13" t="s">
        <v>379</v>
      </c>
      <c r="D13" t="s">
        <v>380</v>
      </c>
      <c r="E13" t="s">
        <v>381</v>
      </c>
      <c r="F13" t="s">
        <v>382</v>
      </c>
      <c r="G13" t="s">
        <v>202</v>
      </c>
      <c r="H13">
        <v>12</v>
      </c>
      <c r="J13" t="s">
        <v>383</v>
      </c>
    </row>
    <row r="14" spans="1:16" x14ac:dyDescent="0.3">
      <c r="A14" t="s">
        <v>325</v>
      </c>
      <c r="B14" t="s">
        <v>326</v>
      </c>
      <c r="C14" t="s">
        <v>384</v>
      </c>
      <c r="D14" t="s">
        <v>384</v>
      </c>
      <c r="G14" t="s">
        <v>202</v>
      </c>
      <c r="H14">
        <v>13</v>
      </c>
      <c r="J14" t="s">
        <v>335</v>
      </c>
    </row>
    <row r="15" spans="1:16" x14ac:dyDescent="0.3">
      <c r="A15" t="s">
        <v>325</v>
      </c>
      <c r="B15" t="s">
        <v>326</v>
      </c>
      <c r="C15" t="s">
        <v>385</v>
      </c>
      <c r="D15" t="s">
        <v>385</v>
      </c>
      <c r="G15" t="s">
        <v>202</v>
      </c>
      <c r="H15">
        <v>14</v>
      </c>
      <c r="J15" t="s">
        <v>341</v>
      </c>
    </row>
    <row r="16" spans="1:16" x14ac:dyDescent="0.3">
      <c r="A16" t="s">
        <v>325</v>
      </c>
      <c r="B16" t="s">
        <v>326</v>
      </c>
      <c r="C16" t="s">
        <v>386</v>
      </c>
      <c r="D16" t="s">
        <v>386</v>
      </c>
      <c r="E16" t="s">
        <v>387</v>
      </c>
      <c r="G16" t="s">
        <v>202</v>
      </c>
      <c r="H16">
        <v>15</v>
      </c>
      <c r="I16" t="s">
        <v>388</v>
      </c>
      <c r="J16" t="s">
        <v>389</v>
      </c>
    </row>
    <row r="17" spans="1:12" x14ac:dyDescent="0.3">
      <c r="A17" t="s">
        <v>325</v>
      </c>
      <c r="B17" t="s">
        <v>326</v>
      </c>
      <c r="C17" t="s">
        <v>390</v>
      </c>
      <c r="D17" t="s">
        <v>391</v>
      </c>
      <c r="E17" t="s">
        <v>392</v>
      </c>
      <c r="F17" t="s">
        <v>393</v>
      </c>
      <c r="G17" t="s">
        <v>202</v>
      </c>
      <c r="H17">
        <v>16</v>
      </c>
    </row>
    <row r="18" spans="1:12" x14ac:dyDescent="0.3">
      <c r="A18" t="s">
        <v>394</v>
      </c>
      <c r="B18" t="s">
        <v>326</v>
      </c>
      <c r="C18" t="s">
        <v>395</v>
      </c>
      <c r="D18" t="s">
        <v>395</v>
      </c>
      <c r="E18" t="s">
        <v>396</v>
      </c>
      <c r="G18" t="s">
        <v>202</v>
      </c>
      <c r="H18">
        <v>17</v>
      </c>
      <c r="I18" t="s">
        <v>397</v>
      </c>
      <c r="J18" t="s">
        <v>335</v>
      </c>
    </row>
    <row r="19" spans="1:12" x14ac:dyDescent="0.3">
      <c r="A19" t="s">
        <v>325</v>
      </c>
      <c r="B19" t="s">
        <v>326</v>
      </c>
      <c r="C19" t="s">
        <v>398</v>
      </c>
      <c r="D19" t="s">
        <v>398</v>
      </c>
      <c r="E19" t="s">
        <v>399</v>
      </c>
      <c r="G19" t="s">
        <v>202</v>
      </c>
      <c r="H19">
        <v>18</v>
      </c>
      <c r="I19" t="s">
        <v>400</v>
      </c>
      <c r="J19" t="s">
        <v>401</v>
      </c>
    </row>
    <row r="20" spans="1:12" x14ac:dyDescent="0.3">
      <c r="A20" t="s">
        <v>402</v>
      </c>
      <c r="B20" t="s">
        <v>326</v>
      </c>
      <c r="C20" t="s">
        <v>403</v>
      </c>
      <c r="D20" t="s">
        <v>404</v>
      </c>
      <c r="E20" t="s">
        <v>405</v>
      </c>
      <c r="F20" t="s">
        <v>406</v>
      </c>
      <c r="G20" t="s">
        <v>202</v>
      </c>
      <c r="H20">
        <v>19</v>
      </c>
      <c r="J20" t="s">
        <v>407</v>
      </c>
    </row>
    <row r="21" spans="1:12" x14ac:dyDescent="0.3">
      <c r="A21" t="s">
        <v>325</v>
      </c>
      <c r="B21" t="s">
        <v>326</v>
      </c>
      <c r="C21" t="s">
        <v>408</v>
      </c>
      <c r="D21" t="s">
        <v>409</v>
      </c>
      <c r="E21" t="s">
        <v>410</v>
      </c>
      <c r="F21" t="s">
        <v>411</v>
      </c>
      <c r="G21" t="s">
        <v>202</v>
      </c>
      <c r="H21">
        <v>20</v>
      </c>
      <c r="J21" t="s">
        <v>412</v>
      </c>
    </row>
    <row r="22" spans="1:12" x14ac:dyDescent="0.3">
      <c r="A22" t="s">
        <v>325</v>
      </c>
      <c r="B22" t="s">
        <v>326</v>
      </c>
      <c r="C22" t="s">
        <v>413</v>
      </c>
      <c r="D22" t="s">
        <v>414</v>
      </c>
      <c r="E22" t="s">
        <v>415</v>
      </c>
      <c r="F22" t="s">
        <v>416</v>
      </c>
      <c r="G22" t="s">
        <v>202</v>
      </c>
      <c r="H22">
        <v>21</v>
      </c>
      <c r="J22" t="s">
        <v>348</v>
      </c>
    </row>
    <row r="23" spans="1:12" x14ac:dyDescent="0.3">
      <c r="A23" t="s">
        <v>325</v>
      </c>
      <c r="B23" t="s">
        <v>326</v>
      </c>
      <c r="C23" t="s">
        <v>417</v>
      </c>
      <c r="D23" t="s">
        <v>418</v>
      </c>
      <c r="E23" t="s">
        <v>419</v>
      </c>
      <c r="F23" t="s">
        <v>420</v>
      </c>
      <c r="G23" t="s">
        <v>202</v>
      </c>
      <c r="H23">
        <v>22</v>
      </c>
      <c r="K23" t="s">
        <v>421</v>
      </c>
    </row>
    <row r="24" spans="1:12" x14ac:dyDescent="0.3">
      <c r="A24" t="s">
        <v>422</v>
      </c>
      <c r="B24" t="s">
        <v>326</v>
      </c>
      <c r="C24" t="s">
        <v>423</v>
      </c>
      <c r="D24" t="s">
        <v>424</v>
      </c>
      <c r="E24" t="s">
        <v>425</v>
      </c>
      <c r="F24" t="s">
        <v>426</v>
      </c>
      <c r="G24" t="s">
        <v>202</v>
      </c>
      <c r="H24">
        <v>23</v>
      </c>
    </row>
    <row r="25" spans="1:12" x14ac:dyDescent="0.3">
      <c r="A25" t="s">
        <v>325</v>
      </c>
      <c r="B25" t="s">
        <v>326</v>
      </c>
      <c r="C25" t="s">
        <v>427</v>
      </c>
      <c r="D25" t="s">
        <v>428</v>
      </c>
      <c r="E25" t="s">
        <v>429</v>
      </c>
      <c r="F25" t="s">
        <v>430</v>
      </c>
      <c r="G25" t="s">
        <v>202</v>
      </c>
      <c r="H25">
        <v>24</v>
      </c>
      <c r="J25" t="s">
        <v>341</v>
      </c>
    </row>
    <row r="26" spans="1:12" x14ac:dyDescent="0.3">
      <c r="A26" t="s">
        <v>325</v>
      </c>
      <c r="B26" t="s">
        <v>326</v>
      </c>
      <c r="C26" t="s">
        <v>431</v>
      </c>
      <c r="D26" t="s">
        <v>432</v>
      </c>
      <c r="E26" t="s">
        <v>433</v>
      </c>
      <c r="F26" t="s">
        <v>434</v>
      </c>
      <c r="G26" t="s">
        <v>202</v>
      </c>
      <c r="H26">
        <v>25</v>
      </c>
      <c r="J26" t="s">
        <v>341</v>
      </c>
    </row>
    <row r="27" spans="1:12" x14ac:dyDescent="0.3">
      <c r="A27" t="s">
        <v>325</v>
      </c>
      <c r="B27" t="s">
        <v>326</v>
      </c>
      <c r="C27" t="s">
        <v>435</v>
      </c>
      <c r="D27" t="s">
        <v>435</v>
      </c>
      <c r="E27" t="s">
        <v>436</v>
      </c>
      <c r="G27" t="s">
        <v>202</v>
      </c>
      <c r="H27">
        <v>26</v>
      </c>
      <c r="I27" t="s">
        <v>437</v>
      </c>
      <c r="J27" t="s">
        <v>438</v>
      </c>
      <c r="K27" t="s">
        <v>439</v>
      </c>
    </row>
    <row r="28" spans="1:12" x14ac:dyDescent="0.3">
      <c r="A28" t="s">
        <v>325</v>
      </c>
      <c r="B28" t="s">
        <v>326</v>
      </c>
      <c r="C28" t="s">
        <v>440</v>
      </c>
      <c r="D28" t="s">
        <v>440</v>
      </c>
      <c r="E28" t="s">
        <v>441</v>
      </c>
      <c r="G28" t="s">
        <v>202</v>
      </c>
      <c r="H28">
        <v>27</v>
      </c>
      <c r="I28" t="s">
        <v>442</v>
      </c>
      <c r="J28" t="s">
        <v>443</v>
      </c>
    </row>
    <row r="29" spans="1:12" x14ac:dyDescent="0.3">
      <c r="A29" t="s">
        <v>394</v>
      </c>
      <c r="B29" t="s">
        <v>326</v>
      </c>
      <c r="C29" t="s">
        <v>444</v>
      </c>
      <c r="D29" t="s">
        <v>445</v>
      </c>
      <c r="G29" t="s">
        <v>202</v>
      </c>
      <c r="H29">
        <v>28</v>
      </c>
      <c r="L29" t="s">
        <v>446</v>
      </c>
    </row>
    <row r="30" spans="1:12" x14ac:dyDescent="0.3">
      <c r="A30" t="s">
        <v>325</v>
      </c>
      <c r="B30" t="s">
        <v>326</v>
      </c>
      <c r="C30" t="s">
        <v>447</v>
      </c>
      <c r="D30" t="s">
        <v>447</v>
      </c>
      <c r="G30" t="s">
        <v>202</v>
      </c>
      <c r="H30">
        <v>29</v>
      </c>
      <c r="J30" t="s">
        <v>448</v>
      </c>
    </row>
    <row r="31" spans="1:12" x14ac:dyDescent="0.3">
      <c r="A31" t="s">
        <v>325</v>
      </c>
      <c r="B31" t="s">
        <v>326</v>
      </c>
      <c r="C31" t="s">
        <v>449</v>
      </c>
      <c r="D31" t="s">
        <v>450</v>
      </c>
      <c r="E31" t="s">
        <v>451</v>
      </c>
      <c r="F31" t="s">
        <v>452</v>
      </c>
      <c r="G31" t="s">
        <v>202</v>
      </c>
      <c r="H31">
        <v>30</v>
      </c>
    </row>
    <row r="32" spans="1:12" x14ac:dyDescent="0.3">
      <c r="A32" t="s">
        <v>325</v>
      </c>
      <c r="B32" t="s">
        <v>326</v>
      </c>
      <c r="C32" t="s">
        <v>453</v>
      </c>
      <c r="D32" t="s">
        <v>454</v>
      </c>
      <c r="E32" t="s">
        <v>455</v>
      </c>
      <c r="F32" t="s">
        <v>456</v>
      </c>
      <c r="G32" t="s">
        <v>202</v>
      </c>
      <c r="H32">
        <v>31</v>
      </c>
      <c r="J32" t="s">
        <v>457</v>
      </c>
    </row>
    <row r="33" spans="1:11" x14ac:dyDescent="0.3">
      <c r="A33" t="s">
        <v>325</v>
      </c>
      <c r="B33" t="s">
        <v>326</v>
      </c>
      <c r="C33" t="s">
        <v>458</v>
      </c>
      <c r="D33" t="s">
        <v>458</v>
      </c>
      <c r="E33" t="s">
        <v>459</v>
      </c>
      <c r="G33" t="s">
        <v>202</v>
      </c>
      <c r="H33">
        <v>32</v>
      </c>
      <c r="I33" t="s">
        <v>460</v>
      </c>
      <c r="J33" t="s">
        <v>335</v>
      </c>
    </row>
    <row r="34" spans="1:11" x14ac:dyDescent="0.3">
      <c r="A34" t="s">
        <v>325</v>
      </c>
      <c r="B34" t="s">
        <v>326</v>
      </c>
      <c r="C34" t="s">
        <v>461</v>
      </c>
      <c r="D34" t="s">
        <v>461</v>
      </c>
      <c r="E34" t="s">
        <v>462</v>
      </c>
      <c r="G34" t="s">
        <v>202</v>
      </c>
      <c r="H34">
        <v>33</v>
      </c>
      <c r="I34" t="s">
        <v>463</v>
      </c>
      <c r="J34" t="s">
        <v>464</v>
      </c>
    </row>
    <row r="35" spans="1:11" x14ac:dyDescent="0.3">
      <c r="A35" t="s">
        <v>422</v>
      </c>
      <c r="B35" t="s">
        <v>326</v>
      </c>
      <c r="C35" t="s">
        <v>465</v>
      </c>
      <c r="D35" t="s">
        <v>465</v>
      </c>
      <c r="E35" t="s">
        <v>466</v>
      </c>
      <c r="F35" t="s">
        <v>467</v>
      </c>
      <c r="G35" t="s">
        <v>202</v>
      </c>
      <c r="H35">
        <v>34</v>
      </c>
    </row>
    <row r="36" spans="1:11" x14ac:dyDescent="0.3">
      <c r="A36" t="s">
        <v>325</v>
      </c>
      <c r="B36" t="s">
        <v>326</v>
      </c>
      <c r="C36" t="s">
        <v>468</v>
      </c>
      <c r="D36" t="s">
        <v>469</v>
      </c>
      <c r="E36" t="s">
        <v>470</v>
      </c>
      <c r="G36" t="s">
        <v>202</v>
      </c>
      <c r="H36">
        <v>35</v>
      </c>
      <c r="I36" t="s">
        <v>471</v>
      </c>
      <c r="K36" t="s">
        <v>472</v>
      </c>
    </row>
    <row r="37" spans="1:11" x14ac:dyDescent="0.3">
      <c r="A37" t="s">
        <v>336</v>
      </c>
      <c r="B37" t="s">
        <v>326</v>
      </c>
      <c r="C37" t="s">
        <v>473</v>
      </c>
      <c r="D37" t="s">
        <v>473</v>
      </c>
      <c r="E37" t="s">
        <v>474</v>
      </c>
      <c r="G37" t="s">
        <v>202</v>
      </c>
      <c r="H37">
        <v>36</v>
      </c>
      <c r="I37" t="s">
        <v>475</v>
      </c>
      <c r="J37" t="s">
        <v>476</v>
      </c>
    </row>
    <row r="38" spans="1:11" x14ac:dyDescent="0.3">
      <c r="A38" t="s">
        <v>325</v>
      </c>
      <c r="B38" t="s">
        <v>326</v>
      </c>
      <c r="C38" t="s">
        <v>477</v>
      </c>
      <c r="D38" t="s">
        <v>478</v>
      </c>
      <c r="E38" t="s">
        <v>479</v>
      </c>
      <c r="F38" t="s">
        <v>480</v>
      </c>
      <c r="G38" t="s">
        <v>202</v>
      </c>
      <c r="H38">
        <v>37</v>
      </c>
    </row>
    <row r="39" spans="1:11" x14ac:dyDescent="0.3">
      <c r="A39" t="s">
        <v>325</v>
      </c>
      <c r="B39" t="s">
        <v>481</v>
      </c>
      <c r="C39" t="s">
        <v>482</v>
      </c>
      <c r="D39" t="s">
        <v>483</v>
      </c>
      <c r="E39" t="s">
        <v>484</v>
      </c>
      <c r="F39" t="s">
        <v>485</v>
      </c>
      <c r="G39" t="s">
        <v>486</v>
      </c>
      <c r="H39">
        <v>38</v>
      </c>
    </row>
    <row r="40" spans="1:11" x14ac:dyDescent="0.3">
      <c r="A40" t="s">
        <v>325</v>
      </c>
      <c r="B40" t="s">
        <v>481</v>
      </c>
      <c r="C40" t="s">
        <v>487</v>
      </c>
      <c r="D40" t="s">
        <v>488</v>
      </c>
      <c r="E40" t="s">
        <v>489</v>
      </c>
      <c r="F40" t="s">
        <v>490</v>
      </c>
      <c r="G40" t="s">
        <v>486</v>
      </c>
      <c r="H40">
        <v>39</v>
      </c>
      <c r="J40" t="s">
        <v>491</v>
      </c>
    </row>
    <row r="41" spans="1:11" x14ac:dyDescent="0.3">
      <c r="A41" t="s">
        <v>325</v>
      </c>
      <c r="B41" t="s">
        <v>481</v>
      </c>
      <c r="C41" t="s">
        <v>492</v>
      </c>
      <c r="D41" t="s">
        <v>493</v>
      </c>
      <c r="E41" t="s">
        <v>494</v>
      </c>
      <c r="F41" t="s">
        <v>495</v>
      </c>
      <c r="G41" t="s">
        <v>486</v>
      </c>
      <c r="H41">
        <v>40</v>
      </c>
    </row>
    <row r="42" spans="1:11" x14ac:dyDescent="0.3">
      <c r="A42" t="s">
        <v>325</v>
      </c>
      <c r="B42" t="s">
        <v>481</v>
      </c>
      <c r="C42" t="s">
        <v>496</v>
      </c>
      <c r="D42" t="s">
        <v>497</v>
      </c>
      <c r="E42" t="s">
        <v>498</v>
      </c>
      <c r="G42" t="s">
        <v>486</v>
      </c>
      <c r="H42">
        <v>41</v>
      </c>
      <c r="I42" t="s">
        <v>499</v>
      </c>
    </row>
    <row r="43" spans="1:11" x14ac:dyDescent="0.3">
      <c r="A43" t="s">
        <v>325</v>
      </c>
      <c r="B43" t="s">
        <v>481</v>
      </c>
      <c r="C43" t="s">
        <v>500</v>
      </c>
      <c r="D43" t="s">
        <v>501</v>
      </c>
      <c r="E43" t="s">
        <v>502</v>
      </c>
      <c r="G43" t="s">
        <v>486</v>
      </c>
      <c r="H43">
        <v>42</v>
      </c>
      <c r="I43" t="s">
        <v>503</v>
      </c>
      <c r="J43" t="s">
        <v>504</v>
      </c>
    </row>
    <row r="44" spans="1:11" x14ac:dyDescent="0.3">
      <c r="A44" t="s">
        <v>325</v>
      </c>
      <c r="B44" t="s">
        <v>481</v>
      </c>
      <c r="C44" t="s">
        <v>505</v>
      </c>
      <c r="D44" t="s">
        <v>506</v>
      </c>
      <c r="E44" t="s">
        <v>507</v>
      </c>
      <c r="F44" t="s">
        <v>508</v>
      </c>
      <c r="G44" t="s">
        <v>486</v>
      </c>
      <c r="H44">
        <v>43</v>
      </c>
    </row>
    <row r="45" spans="1:11" x14ac:dyDescent="0.3">
      <c r="A45" t="s">
        <v>325</v>
      </c>
      <c r="B45" t="s">
        <v>481</v>
      </c>
      <c r="C45" t="s">
        <v>509</v>
      </c>
      <c r="D45" t="s">
        <v>510</v>
      </c>
      <c r="E45" t="s">
        <v>511</v>
      </c>
      <c r="F45" t="s">
        <v>512</v>
      </c>
      <c r="G45" t="s">
        <v>486</v>
      </c>
      <c r="H45">
        <v>44</v>
      </c>
    </row>
    <row r="46" spans="1:11" x14ac:dyDescent="0.3">
      <c r="A46" t="s">
        <v>422</v>
      </c>
      <c r="B46" t="s">
        <v>481</v>
      </c>
      <c r="C46" t="s">
        <v>513</v>
      </c>
      <c r="D46" t="s">
        <v>514</v>
      </c>
      <c r="E46" t="s">
        <v>515</v>
      </c>
      <c r="F46" t="s">
        <v>516</v>
      </c>
      <c r="G46" t="s">
        <v>486</v>
      </c>
      <c r="H46">
        <v>45</v>
      </c>
      <c r="J46" t="s">
        <v>517</v>
      </c>
      <c r="K46" t="s">
        <v>518</v>
      </c>
    </row>
    <row r="47" spans="1:11" x14ac:dyDescent="0.3">
      <c r="A47" t="s">
        <v>325</v>
      </c>
      <c r="B47" t="s">
        <v>481</v>
      </c>
      <c r="C47" t="s">
        <v>519</v>
      </c>
      <c r="D47" t="s">
        <v>520</v>
      </c>
      <c r="E47" t="s">
        <v>521</v>
      </c>
      <c r="F47" t="s">
        <v>522</v>
      </c>
      <c r="G47" t="s">
        <v>486</v>
      </c>
      <c r="H47">
        <v>46</v>
      </c>
    </row>
    <row r="48" spans="1:11" x14ac:dyDescent="0.3">
      <c r="A48" t="s">
        <v>325</v>
      </c>
      <c r="B48" t="s">
        <v>481</v>
      </c>
      <c r="C48" t="s">
        <v>523</v>
      </c>
      <c r="D48" t="s">
        <v>524</v>
      </c>
      <c r="E48" t="s">
        <v>525</v>
      </c>
      <c r="F48" t="s">
        <v>526</v>
      </c>
      <c r="G48" t="s">
        <v>486</v>
      </c>
      <c r="H48">
        <v>47</v>
      </c>
    </row>
    <row r="49" spans="1:12" x14ac:dyDescent="0.3">
      <c r="A49" t="s">
        <v>325</v>
      </c>
      <c r="B49" t="s">
        <v>481</v>
      </c>
      <c r="C49" t="s">
        <v>527</v>
      </c>
      <c r="D49" t="s">
        <v>528</v>
      </c>
      <c r="E49" t="s">
        <v>529</v>
      </c>
      <c r="G49" t="s">
        <v>486</v>
      </c>
      <c r="H49">
        <v>48</v>
      </c>
      <c r="I49" t="s">
        <v>530</v>
      </c>
      <c r="J49" t="s">
        <v>531</v>
      </c>
    </row>
    <row r="50" spans="1:12" x14ac:dyDescent="0.3">
      <c r="A50" t="s">
        <v>325</v>
      </c>
      <c r="B50" t="s">
        <v>481</v>
      </c>
      <c r="C50" t="s">
        <v>532</v>
      </c>
      <c r="D50" t="s">
        <v>533</v>
      </c>
      <c r="E50" t="s">
        <v>534</v>
      </c>
      <c r="G50" t="s">
        <v>486</v>
      </c>
      <c r="H50">
        <v>49</v>
      </c>
      <c r="I50" t="s">
        <v>535</v>
      </c>
    </row>
    <row r="51" spans="1:12" x14ac:dyDescent="0.3">
      <c r="A51" t="s">
        <v>325</v>
      </c>
      <c r="B51" t="s">
        <v>481</v>
      </c>
      <c r="C51" t="s">
        <v>536</v>
      </c>
      <c r="D51" t="s">
        <v>537</v>
      </c>
      <c r="E51" t="s">
        <v>538</v>
      </c>
      <c r="G51" t="s">
        <v>486</v>
      </c>
      <c r="H51">
        <v>50</v>
      </c>
      <c r="I51" t="s">
        <v>539</v>
      </c>
      <c r="J51" t="s">
        <v>540</v>
      </c>
    </row>
    <row r="52" spans="1:12" x14ac:dyDescent="0.3">
      <c r="A52" t="s">
        <v>325</v>
      </c>
      <c r="B52" t="s">
        <v>481</v>
      </c>
      <c r="C52" t="s">
        <v>541</v>
      </c>
      <c r="D52" t="s">
        <v>542</v>
      </c>
      <c r="E52" t="s">
        <v>543</v>
      </c>
      <c r="F52" t="s">
        <v>544</v>
      </c>
      <c r="G52" t="s">
        <v>486</v>
      </c>
      <c r="H52">
        <v>51</v>
      </c>
    </row>
    <row r="53" spans="1:12" x14ac:dyDescent="0.3">
      <c r="A53" t="s">
        <v>325</v>
      </c>
      <c r="B53" t="s">
        <v>481</v>
      </c>
      <c r="C53" t="s">
        <v>545</v>
      </c>
      <c r="D53" t="s">
        <v>546</v>
      </c>
      <c r="E53" t="s">
        <v>547</v>
      </c>
      <c r="F53" t="s">
        <v>548</v>
      </c>
      <c r="G53" t="s">
        <v>486</v>
      </c>
      <c r="H53">
        <v>52</v>
      </c>
    </row>
    <row r="54" spans="1:12" x14ac:dyDescent="0.3">
      <c r="A54" t="s">
        <v>325</v>
      </c>
      <c r="B54" t="s">
        <v>481</v>
      </c>
      <c r="C54" t="s">
        <v>549</v>
      </c>
      <c r="D54" t="s">
        <v>550</v>
      </c>
      <c r="E54" t="s">
        <v>551</v>
      </c>
      <c r="F54" t="s">
        <v>552</v>
      </c>
      <c r="G54" t="s">
        <v>486</v>
      </c>
      <c r="H54">
        <v>53</v>
      </c>
    </row>
    <row r="55" spans="1:12" x14ac:dyDescent="0.3">
      <c r="A55" t="s">
        <v>325</v>
      </c>
      <c r="B55" t="s">
        <v>481</v>
      </c>
      <c r="C55" t="s">
        <v>553</v>
      </c>
      <c r="D55" t="s">
        <v>554</v>
      </c>
      <c r="E55" t="s">
        <v>555</v>
      </c>
      <c r="G55" t="s">
        <v>486</v>
      </c>
      <c r="H55">
        <v>54</v>
      </c>
      <c r="I55" t="s">
        <v>347</v>
      </c>
      <c r="J55" t="s">
        <v>556</v>
      </c>
    </row>
    <row r="56" spans="1:12" x14ac:dyDescent="0.3">
      <c r="A56" t="s">
        <v>325</v>
      </c>
      <c r="B56" t="s">
        <v>481</v>
      </c>
      <c r="C56" t="s">
        <v>557</v>
      </c>
      <c r="D56" t="s">
        <v>558</v>
      </c>
      <c r="E56" t="s">
        <v>559</v>
      </c>
      <c r="G56" t="s">
        <v>486</v>
      </c>
      <c r="H56">
        <v>55</v>
      </c>
      <c r="I56" t="s">
        <v>560</v>
      </c>
    </row>
    <row r="57" spans="1:12" x14ac:dyDescent="0.3">
      <c r="A57" t="s">
        <v>325</v>
      </c>
      <c r="B57" t="s">
        <v>481</v>
      </c>
      <c r="C57" t="s">
        <v>561</v>
      </c>
      <c r="D57" t="s">
        <v>561</v>
      </c>
      <c r="E57" t="s">
        <v>562</v>
      </c>
      <c r="G57" t="s">
        <v>486</v>
      </c>
      <c r="H57">
        <v>56</v>
      </c>
      <c r="I57" t="s">
        <v>563</v>
      </c>
    </row>
    <row r="58" spans="1:12" x14ac:dyDescent="0.3">
      <c r="A58" t="s">
        <v>325</v>
      </c>
      <c r="B58" t="s">
        <v>481</v>
      </c>
      <c r="C58" t="s">
        <v>564</v>
      </c>
      <c r="D58" t="s">
        <v>565</v>
      </c>
      <c r="E58" t="s">
        <v>566</v>
      </c>
      <c r="F58" t="s">
        <v>567</v>
      </c>
      <c r="G58" t="s">
        <v>486</v>
      </c>
      <c r="H58">
        <v>57</v>
      </c>
    </row>
    <row r="59" spans="1:12" x14ac:dyDescent="0.3">
      <c r="A59" t="s">
        <v>325</v>
      </c>
      <c r="B59" t="s">
        <v>481</v>
      </c>
      <c r="C59" t="s">
        <v>568</v>
      </c>
      <c r="D59" t="s">
        <v>569</v>
      </c>
      <c r="E59" t="s">
        <v>570</v>
      </c>
      <c r="G59" t="s">
        <v>486</v>
      </c>
      <c r="H59">
        <v>58</v>
      </c>
      <c r="I59" t="s">
        <v>571</v>
      </c>
      <c r="J59" t="s">
        <v>572</v>
      </c>
    </row>
    <row r="60" spans="1:12" x14ac:dyDescent="0.3">
      <c r="A60" t="s">
        <v>325</v>
      </c>
      <c r="B60" t="s">
        <v>481</v>
      </c>
      <c r="C60" t="s">
        <v>573</v>
      </c>
      <c r="D60" t="s">
        <v>574</v>
      </c>
      <c r="E60" t="s">
        <v>575</v>
      </c>
      <c r="F60" t="s">
        <v>576</v>
      </c>
      <c r="G60" t="s">
        <v>486</v>
      </c>
      <c r="H60">
        <v>59</v>
      </c>
    </row>
    <row r="61" spans="1:12" x14ac:dyDescent="0.3">
      <c r="A61" t="s">
        <v>325</v>
      </c>
      <c r="B61" t="s">
        <v>481</v>
      </c>
      <c r="C61" t="s">
        <v>577</v>
      </c>
      <c r="D61" t="s">
        <v>578</v>
      </c>
      <c r="E61" t="s">
        <v>579</v>
      </c>
      <c r="F61" t="s">
        <v>580</v>
      </c>
      <c r="G61" t="s">
        <v>486</v>
      </c>
      <c r="H61">
        <v>60</v>
      </c>
    </row>
    <row r="62" spans="1:12" x14ac:dyDescent="0.3">
      <c r="A62" t="s">
        <v>325</v>
      </c>
      <c r="B62" t="s">
        <v>481</v>
      </c>
      <c r="C62" t="s">
        <v>581</v>
      </c>
      <c r="D62" t="s">
        <v>582</v>
      </c>
      <c r="E62" t="s">
        <v>583</v>
      </c>
      <c r="G62" t="s">
        <v>486</v>
      </c>
      <c r="H62">
        <v>61</v>
      </c>
      <c r="I62" t="s">
        <v>584</v>
      </c>
    </row>
    <row r="63" spans="1:12" x14ac:dyDescent="0.3">
      <c r="A63" t="s">
        <v>325</v>
      </c>
      <c r="B63" t="s">
        <v>481</v>
      </c>
      <c r="C63" t="s">
        <v>585</v>
      </c>
      <c r="D63" t="s">
        <v>586</v>
      </c>
      <c r="E63" t="s">
        <v>587</v>
      </c>
      <c r="F63" t="s">
        <v>588</v>
      </c>
      <c r="G63" t="s">
        <v>486</v>
      </c>
      <c r="H63">
        <v>62</v>
      </c>
      <c r="L63" t="s">
        <v>589</v>
      </c>
    </row>
    <row r="64" spans="1:12" x14ac:dyDescent="0.3">
      <c r="A64" t="s">
        <v>325</v>
      </c>
      <c r="B64" t="s">
        <v>481</v>
      </c>
      <c r="C64" t="s">
        <v>590</v>
      </c>
      <c r="D64" t="s">
        <v>591</v>
      </c>
      <c r="E64" t="s">
        <v>592</v>
      </c>
      <c r="G64" t="s">
        <v>486</v>
      </c>
      <c r="H64">
        <v>63</v>
      </c>
      <c r="I64" t="s">
        <v>593</v>
      </c>
      <c r="J64" t="s">
        <v>504</v>
      </c>
    </row>
    <row r="65" spans="1:14" x14ac:dyDescent="0.3">
      <c r="A65" t="s">
        <v>325</v>
      </c>
      <c r="B65" t="s">
        <v>481</v>
      </c>
      <c r="C65" t="s">
        <v>594</v>
      </c>
      <c r="D65" t="s">
        <v>595</v>
      </c>
      <c r="E65" t="s">
        <v>596</v>
      </c>
      <c r="F65" t="s">
        <v>597</v>
      </c>
      <c r="G65" t="s">
        <v>486</v>
      </c>
      <c r="H65">
        <v>64</v>
      </c>
    </row>
    <row r="66" spans="1:14" x14ac:dyDescent="0.3">
      <c r="A66" t="s">
        <v>325</v>
      </c>
      <c r="B66" t="s">
        <v>481</v>
      </c>
      <c r="C66" t="s">
        <v>598</v>
      </c>
      <c r="D66" t="s">
        <v>599</v>
      </c>
      <c r="E66" t="s">
        <v>600</v>
      </c>
      <c r="F66" t="s">
        <v>601</v>
      </c>
      <c r="G66" t="s">
        <v>486</v>
      </c>
      <c r="H66">
        <v>65</v>
      </c>
    </row>
    <row r="67" spans="1:14" x14ac:dyDescent="0.3">
      <c r="A67" t="s">
        <v>325</v>
      </c>
      <c r="B67" t="s">
        <v>481</v>
      </c>
      <c r="C67" t="s">
        <v>602</v>
      </c>
      <c r="D67" t="s">
        <v>603</v>
      </c>
      <c r="E67" t="s">
        <v>604</v>
      </c>
      <c r="G67" t="s">
        <v>486</v>
      </c>
      <c r="H67">
        <v>66</v>
      </c>
      <c r="I67" t="s">
        <v>605</v>
      </c>
      <c r="J67" t="s">
        <v>606</v>
      </c>
    </row>
    <row r="68" spans="1:14" x14ac:dyDescent="0.3">
      <c r="A68" t="s">
        <v>325</v>
      </c>
      <c r="B68" t="s">
        <v>481</v>
      </c>
      <c r="C68" t="s">
        <v>607</v>
      </c>
      <c r="D68" t="s">
        <v>608</v>
      </c>
      <c r="E68" t="s">
        <v>609</v>
      </c>
      <c r="F68" t="s">
        <v>610</v>
      </c>
      <c r="G68" t="s">
        <v>486</v>
      </c>
      <c r="H68">
        <v>67</v>
      </c>
    </row>
    <row r="69" spans="1:14" x14ac:dyDescent="0.3">
      <c r="A69" t="s">
        <v>325</v>
      </c>
      <c r="B69" t="s">
        <v>481</v>
      </c>
      <c r="C69" t="s">
        <v>611</v>
      </c>
      <c r="D69" t="s">
        <v>612</v>
      </c>
      <c r="E69" t="s">
        <v>613</v>
      </c>
      <c r="F69" t="s">
        <v>614</v>
      </c>
      <c r="G69" t="s">
        <v>486</v>
      </c>
      <c r="H69">
        <v>68</v>
      </c>
    </row>
    <row r="70" spans="1:14" x14ac:dyDescent="0.3">
      <c r="A70" t="s">
        <v>325</v>
      </c>
      <c r="B70" t="s">
        <v>481</v>
      </c>
      <c r="C70" t="s">
        <v>615</v>
      </c>
      <c r="D70" t="s">
        <v>616</v>
      </c>
      <c r="E70" t="s">
        <v>617</v>
      </c>
      <c r="G70" t="s">
        <v>486</v>
      </c>
      <c r="H70">
        <v>69</v>
      </c>
      <c r="I70" t="s">
        <v>618</v>
      </c>
    </row>
    <row r="71" spans="1:14" x14ac:dyDescent="0.3">
      <c r="A71" t="s">
        <v>325</v>
      </c>
      <c r="B71" t="s">
        <v>481</v>
      </c>
      <c r="C71" t="s">
        <v>619</v>
      </c>
      <c r="D71" t="s">
        <v>620</v>
      </c>
      <c r="E71" t="s">
        <v>621</v>
      </c>
      <c r="G71" t="s">
        <v>486</v>
      </c>
      <c r="H71">
        <v>70</v>
      </c>
      <c r="I71" t="s">
        <v>622</v>
      </c>
      <c r="J71" t="s">
        <v>623</v>
      </c>
    </row>
    <row r="72" spans="1:14" x14ac:dyDescent="0.3">
      <c r="A72" t="s">
        <v>325</v>
      </c>
      <c r="B72" t="s">
        <v>481</v>
      </c>
      <c r="C72" t="s">
        <v>624</v>
      </c>
      <c r="D72" t="s">
        <v>625</v>
      </c>
      <c r="E72" t="s">
        <v>626</v>
      </c>
      <c r="F72" t="s">
        <v>627</v>
      </c>
      <c r="G72" t="s">
        <v>486</v>
      </c>
      <c r="H72">
        <v>71</v>
      </c>
    </row>
    <row r="73" spans="1:14" x14ac:dyDescent="0.3">
      <c r="A73" t="s">
        <v>325</v>
      </c>
      <c r="B73" t="s">
        <v>481</v>
      </c>
      <c r="C73" t="s">
        <v>628</v>
      </c>
      <c r="D73" t="s">
        <v>629</v>
      </c>
      <c r="E73" t="s">
        <v>630</v>
      </c>
      <c r="G73" t="s">
        <v>486</v>
      </c>
      <c r="H73">
        <v>72</v>
      </c>
      <c r="I73" t="s">
        <v>631</v>
      </c>
      <c r="J73" t="s">
        <v>632</v>
      </c>
    </row>
    <row r="74" spans="1:14" x14ac:dyDescent="0.3">
      <c r="A74" t="s">
        <v>325</v>
      </c>
      <c r="B74" t="s">
        <v>481</v>
      </c>
      <c r="C74" t="s">
        <v>633</v>
      </c>
      <c r="D74" t="s">
        <v>634</v>
      </c>
      <c r="E74" t="s">
        <v>635</v>
      </c>
      <c r="G74" t="s">
        <v>486</v>
      </c>
      <c r="H74">
        <v>73</v>
      </c>
      <c r="I74" t="s">
        <v>636</v>
      </c>
      <c r="J74" t="s">
        <v>637</v>
      </c>
      <c r="K74" t="s">
        <v>638</v>
      </c>
    </row>
    <row r="75" spans="1:14" x14ac:dyDescent="0.3">
      <c r="A75" t="s">
        <v>325</v>
      </c>
      <c r="B75" t="s">
        <v>326</v>
      </c>
      <c r="C75" t="s">
        <v>639</v>
      </c>
      <c r="D75" t="s">
        <v>640</v>
      </c>
      <c r="E75" t="s">
        <v>641</v>
      </c>
      <c r="G75" t="s">
        <v>486</v>
      </c>
      <c r="H75">
        <v>74</v>
      </c>
      <c r="I75" t="s">
        <v>642</v>
      </c>
      <c r="J75" t="s">
        <v>643</v>
      </c>
    </row>
    <row r="76" spans="1:14" x14ac:dyDescent="0.3">
      <c r="A76" t="s">
        <v>325</v>
      </c>
      <c r="B76" t="s">
        <v>326</v>
      </c>
      <c r="C76" t="s">
        <v>644</v>
      </c>
      <c r="D76" t="s">
        <v>645</v>
      </c>
      <c r="E76" t="s">
        <v>646</v>
      </c>
      <c r="G76" t="s">
        <v>486</v>
      </c>
      <c r="H76">
        <v>75</v>
      </c>
      <c r="I76" t="s">
        <v>647</v>
      </c>
      <c r="J76" t="s">
        <v>504</v>
      </c>
    </row>
    <row r="77" spans="1:14" x14ac:dyDescent="0.3">
      <c r="A77" t="s">
        <v>325</v>
      </c>
      <c r="B77" t="s">
        <v>326</v>
      </c>
      <c r="C77" t="s">
        <v>648</v>
      </c>
      <c r="D77" t="s">
        <v>649</v>
      </c>
      <c r="E77" t="s">
        <v>650</v>
      </c>
      <c r="F77" t="s">
        <v>651</v>
      </c>
      <c r="G77" t="s">
        <v>486</v>
      </c>
      <c r="H77">
        <v>76</v>
      </c>
      <c r="M77" t="s">
        <v>652</v>
      </c>
    </row>
    <row r="78" spans="1:14" x14ac:dyDescent="0.3">
      <c r="A78" t="s">
        <v>325</v>
      </c>
      <c r="B78" t="s">
        <v>326</v>
      </c>
      <c r="C78" t="s">
        <v>653</v>
      </c>
      <c r="D78" t="s">
        <v>654</v>
      </c>
      <c r="E78" t="s">
        <v>655</v>
      </c>
      <c r="G78" t="s">
        <v>486</v>
      </c>
      <c r="H78">
        <v>77</v>
      </c>
      <c r="I78" t="s">
        <v>463</v>
      </c>
      <c r="J78" t="s">
        <v>656</v>
      </c>
    </row>
    <row r="79" spans="1:14" x14ac:dyDescent="0.3">
      <c r="A79" t="s">
        <v>325</v>
      </c>
      <c r="B79" t="s">
        <v>326</v>
      </c>
      <c r="C79" t="s">
        <v>657</v>
      </c>
      <c r="D79" t="s">
        <v>658</v>
      </c>
      <c r="E79" t="s">
        <v>659</v>
      </c>
      <c r="F79" t="s">
        <v>660</v>
      </c>
      <c r="G79" t="s">
        <v>486</v>
      </c>
      <c r="H79">
        <v>78</v>
      </c>
      <c r="J79" t="s">
        <v>491</v>
      </c>
    </row>
    <row r="80" spans="1:14" x14ac:dyDescent="0.3">
      <c r="A80" t="s">
        <v>325</v>
      </c>
      <c r="B80" t="s">
        <v>326</v>
      </c>
      <c r="C80" t="s">
        <v>661</v>
      </c>
      <c r="D80" t="s">
        <v>662</v>
      </c>
      <c r="E80" t="s">
        <v>663</v>
      </c>
      <c r="F80" t="s">
        <v>664</v>
      </c>
      <c r="G80" t="s">
        <v>486</v>
      </c>
      <c r="H80">
        <v>79</v>
      </c>
      <c r="J80" t="s">
        <v>665</v>
      </c>
      <c r="N80" t="s">
        <v>666</v>
      </c>
    </row>
    <row r="81" spans="1:13" x14ac:dyDescent="0.3">
      <c r="A81" t="s">
        <v>325</v>
      </c>
      <c r="B81" t="s">
        <v>326</v>
      </c>
      <c r="C81" t="s">
        <v>667</v>
      </c>
      <c r="D81" t="s">
        <v>667</v>
      </c>
      <c r="E81" t="s">
        <v>668</v>
      </c>
      <c r="G81" t="s">
        <v>486</v>
      </c>
      <c r="H81">
        <v>80</v>
      </c>
      <c r="I81" t="s">
        <v>669</v>
      </c>
    </row>
    <row r="82" spans="1:13" x14ac:dyDescent="0.3">
      <c r="A82" t="s">
        <v>325</v>
      </c>
      <c r="B82" t="s">
        <v>326</v>
      </c>
      <c r="C82" t="s">
        <v>670</v>
      </c>
      <c r="D82" t="s">
        <v>671</v>
      </c>
      <c r="E82" t="s">
        <v>672</v>
      </c>
      <c r="F82" t="s">
        <v>673</v>
      </c>
      <c r="G82" t="s">
        <v>486</v>
      </c>
      <c r="H82">
        <v>81</v>
      </c>
    </row>
    <row r="83" spans="1:13" x14ac:dyDescent="0.3">
      <c r="A83" t="s">
        <v>325</v>
      </c>
      <c r="B83" t="s">
        <v>326</v>
      </c>
      <c r="C83" t="s">
        <v>674</v>
      </c>
      <c r="D83" t="s">
        <v>675</v>
      </c>
      <c r="E83" t="s">
        <v>676</v>
      </c>
      <c r="G83" t="s">
        <v>486</v>
      </c>
      <c r="H83">
        <v>82</v>
      </c>
      <c r="I83" t="s">
        <v>677</v>
      </c>
      <c r="J83" t="s">
        <v>491</v>
      </c>
    </row>
    <row r="84" spans="1:13" x14ac:dyDescent="0.3">
      <c r="A84" t="s">
        <v>325</v>
      </c>
      <c r="B84" t="s">
        <v>326</v>
      </c>
      <c r="C84" t="s">
        <v>678</v>
      </c>
      <c r="D84" t="s">
        <v>679</v>
      </c>
      <c r="E84" t="s">
        <v>680</v>
      </c>
      <c r="F84" t="s">
        <v>681</v>
      </c>
      <c r="G84" t="s">
        <v>486</v>
      </c>
      <c r="H84">
        <v>83</v>
      </c>
    </row>
    <row r="85" spans="1:13" x14ac:dyDescent="0.3">
      <c r="A85" t="s">
        <v>325</v>
      </c>
      <c r="B85" t="s">
        <v>326</v>
      </c>
      <c r="C85" t="s">
        <v>682</v>
      </c>
      <c r="D85" t="s">
        <v>682</v>
      </c>
      <c r="E85" t="s">
        <v>683</v>
      </c>
      <c r="G85" t="s">
        <v>486</v>
      </c>
      <c r="H85">
        <v>84</v>
      </c>
      <c r="I85" t="s">
        <v>684</v>
      </c>
      <c r="M85" t="s">
        <v>685</v>
      </c>
    </row>
    <row r="86" spans="1:13" x14ac:dyDescent="0.3">
      <c r="A86" t="s">
        <v>325</v>
      </c>
      <c r="B86" t="s">
        <v>326</v>
      </c>
      <c r="C86" t="s">
        <v>686</v>
      </c>
      <c r="D86" t="s">
        <v>686</v>
      </c>
      <c r="E86" t="s">
        <v>687</v>
      </c>
      <c r="G86" t="s">
        <v>486</v>
      </c>
      <c r="H86">
        <v>85</v>
      </c>
      <c r="I86" t="s">
        <v>688</v>
      </c>
      <c r="J86" t="s">
        <v>689</v>
      </c>
    </row>
    <row r="87" spans="1:13" x14ac:dyDescent="0.3">
      <c r="A87" t="s">
        <v>325</v>
      </c>
      <c r="B87" t="s">
        <v>326</v>
      </c>
      <c r="C87" t="s">
        <v>690</v>
      </c>
      <c r="D87" t="s">
        <v>691</v>
      </c>
      <c r="E87" t="s">
        <v>692</v>
      </c>
      <c r="F87" t="s">
        <v>693</v>
      </c>
      <c r="G87" t="s">
        <v>486</v>
      </c>
      <c r="H87">
        <v>86</v>
      </c>
    </row>
    <row r="88" spans="1:13" x14ac:dyDescent="0.3">
      <c r="A88" t="s">
        <v>325</v>
      </c>
      <c r="B88" t="s">
        <v>326</v>
      </c>
      <c r="C88" t="s">
        <v>694</v>
      </c>
      <c r="D88" t="s">
        <v>695</v>
      </c>
      <c r="E88" t="s">
        <v>696</v>
      </c>
      <c r="F88" t="s">
        <v>697</v>
      </c>
      <c r="G88" t="s">
        <v>486</v>
      </c>
      <c r="H88">
        <v>87</v>
      </c>
    </row>
    <row r="89" spans="1:13" x14ac:dyDescent="0.3">
      <c r="A89" t="s">
        <v>422</v>
      </c>
      <c r="B89" t="s">
        <v>326</v>
      </c>
      <c r="C89" t="s">
        <v>698</v>
      </c>
      <c r="D89" t="s">
        <v>699</v>
      </c>
      <c r="E89" t="s">
        <v>700</v>
      </c>
      <c r="F89" t="s">
        <v>701</v>
      </c>
      <c r="G89" t="s">
        <v>486</v>
      </c>
      <c r="H89">
        <v>88</v>
      </c>
      <c r="I89" t="s">
        <v>702</v>
      </c>
      <c r="J89" t="s">
        <v>703</v>
      </c>
      <c r="K89" t="s">
        <v>704</v>
      </c>
    </row>
    <row r="90" spans="1:13" x14ac:dyDescent="0.3">
      <c r="A90" t="s">
        <v>325</v>
      </c>
      <c r="B90" t="s">
        <v>326</v>
      </c>
      <c r="C90" t="s">
        <v>705</v>
      </c>
      <c r="D90" t="s">
        <v>706</v>
      </c>
      <c r="E90" t="s">
        <v>707</v>
      </c>
      <c r="F90" t="s">
        <v>708</v>
      </c>
      <c r="G90" t="s">
        <v>486</v>
      </c>
      <c r="H90">
        <v>89</v>
      </c>
      <c r="J90" t="s">
        <v>703</v>
      </c>
    </row>
    <row r="91" spans="1:13" x14ac:dyDescent="0.3">
      <c r="A91" t="s">
        <v>325</v>
      </c>
      <c r="B91" t="s">
        <v>326</v>
      </c>
      <c r="C91" t="s">
        <v>709</v>
      </c>
      <c r="D91" t="s">
        <v>709</v>
      </c>
      <c r="E91" t="s">
        <v>710</v>
      </c>
      <c r="G91" t="s">
        <v>486</v>
      </c>
      <c r="H91">
        <v>90</v>
      </c>
      <c r="I91" t="s">
        <v>711</v>
      </c>
      <c r="J91" t="s">
        <v>712</v>
      </c>
    </row>
    <row r="92" spans="1:13" x14ac:dyDescent="0.3">
      <c r="A92" t="s">
        <v>325</v>
      </c>
      <c r="B92" t="s">
        <v>326</v>
      </c>
      <c r="C92" t="s">
        <v>713</v>
      </c>
      <c r="D92" t="s">
        <v>714</v>
      </c>
      <c r="E92" t="s">
        <v>715</v>
      </c>
      <c r="F92" t="s">
        <v>716</v>
      </c>
      <c r="G92" t="s">
        <v>486</v>
      </c>
      <c r="H92">
        <v>91</v>
      </c>
    </row>
    <row r="93" spans="1:13" x14ac:dyDescent="0.3">
      <c r="A93" t="s">
        <v>325</v>
      </c>
      <c r="B93" t="s">
        <v>326</v>
      </c>
      <c r="C93" t="s">
        <v>717</v>
      </c>
      <c r="D93" t="s">
        <v>718</v>
      </c>
      <c r="E93" t="s">
        <v>719</v>
      </c>
      <c r="F93" t="s">
        <v>720</v>
      </c>
      <c r="G93" t="s">
        <v>486</v>
      </c>
      <c r="H93">
        <v>92</v>
      </c>
    </row>
    <row r="94" spans="1:13" x14ac:dyDescent="0.3">
      <c r="A94" t="s">
        <v>325</v>
      </c>
      <c r="B94" t="s">
        <v>481</v>
      </c>
      <c r="C94" t="s">
        <v>721</v>
      </c>
      <c r="D94" t="s">
        <v>722</v>
      </c>
      <c r="E94" t="s">
        <v>723</v>
      </c>
      <c r="G94" t="s">
        <v>486</v>
      </c>
      <c r="H94">
        <v>93</v>
      </c>
      <c r="I94" t="s">
        <v>724</v>
      </c>
    </row>
    <row r="95" spans="1:13" x14ac:dyDescent="0.3">
      <c r="A95" t="s">
        <v>325</v>
      </c>
      <c r="B95" t="s">
        <v>326</v>
      </c>
      <c r="C95" t="s">
        <v>725</v>
      </c>
      <c r="D95" t="s">
        <v>726</v>
      </c>
      <c r="E95" t="s">
        <v>727</v>
      </c>
      <c r="F95" t="s">
        <v>728</v>
      </c>
      <c r="G95" t="s">
        <v>486</v>
      </c>
      <c r="H95">
        <v>94</v>
      </c>
    </row>
    <row r="96" spans="1:13" x14ac:dyDescent="0.3">
      <c r="A96" t="s">
        <v>325</v>
      </c>
      <c r="B96" t="s">
        <v>326</v>
      </c>
      <c r="C96" t="s">
        <v>729</v>
      </c>
      <c r="D96" t="s">
        <v>730</v>
      </c>
      <c r="E96" t="s">
        <v>731</v>
      </c>
      <c r="F96" t="s">
        <v>732</v>
      </c>
      <c r="G96" t="s">
        <v>486</v>
      </c>
      <c r="H96">
        <v>95</v>
      </c>
    </row>
    <row r="97" spans="1:11" x14ac:dyDescent="0.3">
      <c r="A97" t="s">
        <v>325</v>
      </c>
      <c r="B97" t="s">
        <v>326</v>
      </c>
      <c r="C97" t="s">
        <v>733</v>
      </c>
      <c r="D97" t="s">
        <v>734</v>
      </c>
      <c r="E97" t="s">
        <v>735</v>
      </c>
      <c r="G97" t="s">
        <v>486</v>
      </c>
      <c r="H97">
        <v>96</v>
      </c>
      <c r="I97" t="s">
        <v>736</v>
      </c>
    </row>
    <row r="98" spans="1:11" x14ac:dyDescent="0.3">
      <c r="A98" t="s">
        <v>325</v>
      </c>
      <c r="B98" t="s">
        <v>326</v>
      </c>
      <c r="C98" t="s">
        <v>737</v>
      </c>
      <c r="D98" t="s">
        <v>738</v>
      </c>
      <c r="E98" t="s">
        <v>739</v>
      </c>
      <c r="F98" t="s">
        <v>740</v>
      </c>
      <c r="G98" t="s">
        <v>486</v>
      </c>
      <c r="H98">
        <v>97</v>
      </c>
    </row>
    <row r="99" spans="1:11" x14ac:dyDescent="0.3">
      <c r="A99" t="s">
        <v>394</v>
      </c>
      <c r="B99" t="s">
        <v>326</v>
      </c>
      <c r="C99" t="s">
        <v>741</v>
      </c>
      <c r="D99" t="s">
        <v>742</v>
      </c>
      <c r="E99" t="s">
        <v>743</v>
      </c>
      <c r="G99" t="s">
        <v>486</v>
      </c>
      <c r="H99">
        <v>98</v>
      </c>
      <c r="I99" t="s">
        <v>744</v>
      </c>
    </row>
    <row r="100" spans="1:11" x14ac:dyDescent="0.3">
      <c r="A100" t="s">
        <v>325</v>
      </c>
      <c r="B100" t="s">
        <v>326</v>
      </c>
      <c r="C100" t="s">
        <v>745</v>
      </c>
      <c r="D100" t="s">
        <v>746</v>
      </c>
      <c r="E100" t="s">
        <v>747</v>
      </c>
      <c r="G100" t="s">
        <v>486</v>
      </c>
      <c r="H100">
        <v>99</v>
      </c>
      <c r="I100" t="s">
        <v>748</v>
      </c>
      <c r="K100" t="s">
        <v>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AB39-5FBE-4633-B3C2-B51DB4F372AC}">
  <dimension ref="A1:J100"/>
  <sheetViews>
    <sheetView workbookViewId="0">
      <selection sqref="A1:J100"/>
    </sheetView>
  </sheetViews>
  <sheetFormatPr baseColWidth="10" defaultRowHeight="14.4" x14ac:dyDescent="0.3"/>
  <sheetData>
    <row r="1" spans="1:10" x14ac:dyDescent="0.3">
      <c r="A1" t="s">
        <v>208</v>
      </c>
      <c r="B1" t="s">
        <v>1</v>
      </c>
      <c r="C1" t="s">
        <v>750</v>
      </c>
      <c r="D1" t="s">
        <v>751</v>
      </c>
      <c r="E1" t="s">
        <v>752</v>
      </c>
      <c r="F1" t="s">
        <v>753</v>
      </c>
      <c r="G1" t="s">
        <v>283</v>
      </c>
      <c r="H1" t="s">
        <v>754</v>
      </c>
      <c r="I1" t="s">
        <v>755</v>
      </c>
      <c r="J1" t="s">
        <v>756</v>
      </c>
    </row>
    <row r="2" spans="1:10" x14ac:dyDescent="0.3">
      <c r="A2">
        <v>1</v>
      </c>
      <c r="B2" t="s">
        <v>213</v>
      </c>
      <c r="C2" t="s">
        <v>757</v>
      </c>
      <c r="D2" t="s">
        <v>758</v>
      </c>
      <c r="E2" t="s">
        <v>759</v>
      </c>
      <c r="F2" t="s">
        <v>203</v>
      </c>
      <c r="G2" t="s">
        <v>202</v>
      </c>
      <c r="J2" s="2">
        <v>22191</v>
      </c>
    </row>
    <row r="3" spans="1:10" x14ac:dyDescent="0.3">
      <c r="A3">
        <v>2</v>
      </c>
      <c r="B3" t="s">
        <v>221</v>
      </c>
      <c r="C3" s="2">
        <v>25294</v>
      </c>
      <c r="D3" t="s">
        <v>760</v>
      </c>
      <c r="E3" t="s">
        <v>761</v>
      </c>
      <c r="F3" t="s">
        <v>203</v>
      </c>
      <c r="G3" t="s">
        <v>202</v>
      </c>
      <c r="H3">
        <v>183</v>
      </c>
      <c r="I3">
        <v>76</v>
      </c>
    </row>
    <row r="4" spans="1:10" x14ac:dyDescent="0.3">
      <c r="A4">
        <v>3</v>
      </c>
      <c r="B4" t="s">
        <v>223</v>
      </c>
      <c r="C4" t="s">
        <v>762</v>
      </c>
      <c r="D4" t="s">
        <v>763</v>
      </c>
      <c r="E4" t="s">
        <v>764</v>
      </c>
      <c r="F4" t="s">
        <v>203</v>
      </c>
      <c r="G4" t="s">
        <v>202</v>
      </c>
      <c r="H4">
        <v>183</v>
      </c>
      <c r="I4">
        <v>76</v>
      </c>
      <c r="J4" s="2">
        <v>34532</v>
      </c>
    </row>
    <row r="5" spans="1:10" x14ac:dyDescent="0.3">
      <c r="A5">
        <v>4</v>
      </c>
      <c r="B5" t="s">
        <v>220</v>
      </c>
      <c r="C5" t="s">
        <v>765</v>
      </c>
      <c r="D5" t="s">
        <v>766</v>
      </c>
      <c r="E5" t="s">
        <v>40</v>
      </c>
      <c r="F5" t="s">
        <v>203</v>
      </c>
      <c r="G5" t="s">
        <v>202</v>
      </c>
      <c r="H5">
        <v>168</v>
      </c>
      <c r="I5">
        <v>64</v>
      </c>
      <c r="J5" s="2">
        <v>28569</v>
      </c>
    </row>
    <row r="6" spans="1:10" x14ac:dyDescent="0.3">
      <c r="A6">
        <v>5</v>
      </c>
      <c r="B6" t="s">
        <v>227</v>
      </c>
      <c r="C6" t="s">
        <v>767</v>
      </c>
      <c r="D6" t="s">
        <v>768</v>
      </c>
      <c r="E6" t="s">
        <v>769</v>
      </c>
      <c r="F6" t="s">
        <v>770</v>
      </c>
      <c r="G6" t="s">
        <v>202</v>
      </c>
      <c r="J6" s="2">
        <v>11164</v>
      </c>
    </row>
    <row r="7" spans="1:10" x14ac:dyDescent="0.3">
      <c r="A7">
        <v>6</v>
      </c>
      <c r="B7" t="s">
        <v>231</v>
      </c>
      <c r="C7" s="2">
        <v>25581</v>
      </c>
      <c r="D7" t="s">
        <v>771</v>
      </c>
      <c r="E7" t="s">
        <v>772</v>
      </c>
      <c r="F7" t="s">
        <v>203</v>
      </c>
      <c r="G7" t="s">
        <v>202</v>
      </c>
      <c r="H7">
        <v>181</v>
      </c>
      <c r="I7">
        <v>70</v>
      </c>
    </row>
    <row r="8" spans="1:10" x14ac:dyDescent="0.3">
      <c r="A8">
        <v>7</v>
      </c>
      <c r="B8" t="s">
        <v>232</v>
      </c>
      <c r="C8" s="2">
        <v>25534</v>
      </c>
      <c r="D8" t="s">
        <v>773</v>
      </c>
      <c r="E8" t="s">
        <v>774</v>
      </c>
      <c r="F8" t="s">
        <v>203</v>
      </c>
      <c r="G8" t="s">
        <v>202</v>
      </c>
      <c r="H8">
        <v>180</v>
      </c>
      <c r="I8">
        <v>73</v>
      </c>
    </row>
    <row r="9" spans="1:10" x14ac:dyDescent="0.3">
      <c r="A9">
        <v>8</v>
      </c>
      <c r="B9" t="s">
        <v>226</v>
      </c>
      <c r="C9" s="2">
        <v>714</v>
      </c>
      <c r="D9" t="s">
        <v>775</v>
      </c>
      <c r="E9" t="s">
        <v>776</v>
      </c>
      <c r="F9" t="s">
        <v>203</v>
      </c>
      <c r="G9" t="s">
        <v>202</v>
      </c>
      <c r="J9" s="2">
        <v>31869</v>
      </c>
    </row>
    <row r="10" spans="1:10" x14ac:dyDescent="0.3">
      <c r="A10">
        <v>9</v>
      </c>
      <c r="B10" t="s">
        <v>236</v>
      </c>
      <c r="C10" t="s">
        <v>777</v>
      </c>
      <c r="D10" t="s">
        <v>778</v>
      </c>
      <c r="E10" t="s">
        <v>779</v>
      </c>
      <c r="F10" t="s">
        <v>203</v>
      </c>
      <c r="G10" t="s">
        <v>202</v>
      </c>
      <c r="J10" s="2">
        <v>31625</v>
      </c>
    </row>
    <row r="11" spans="1:10" x14ac:dyDescent="0.3">
      <c r="A11">
        <v>10</v>
      </c>
      <c r="B11" t="s">
        <v>237</v>
      </c>
      <c r="C11" t="s">
        <v>780</v>
      </c>
      <c r="D11" t="s">
        <v>781</v>
      </c>
      <c r="E11" t="s">
        <v>782</v>
      </c>
      <c r="F11" t="s">
        <v>203</v>
      </c>
      <c r="G11" t="s">
        <v>202</v>
      </c>
      <c r="J11" s="2">
        <v>8640</v>
      </c>
    </row>
    <row r="12" spans="1:10" x14ac:dyDescent="0.3">
      <c r="A12">
        <v>11</v>
      </c>
      <c r="B12" t="s">
        <v>244</v>
      </c>
      <c r="C12" t="s">
        <v>783</v>
      </c>
      <c r="D12" t="s">
        <v>784</v>
      </c>
      <c r="E12" t="s">
        <v>761</v>
      </c>
      <c r="F12" t="s">
        <v>203</v>
      </c>
      <c r="G12" t="s">
        <v>202</v>
      </c>
      <c r="J12" s="2">
        <v>12011</v>
      </c>
    </row>
    <row r="13" spans="1:10" x14ac:dyDescent="0.3">
      <c r="A13">
        <v>12</v>
      </c>
      <c r="B13" t="s">
        <v>248</v>
      </c>
      <c r="C13" t="s">
        <v>785</v>
      </c>
      <c r="D13" t="s">
        <v>786</v>
      </c>
      <c r="E13" t="s">
        <v>40</v>
      </c>
      <c r="F13" t="s">
        <v>203</v>
      </c>
      <c r="G13" t="s">
        <v>202</v>
      </c>
      <c r="J13" s="2">
        <v>28739</v>
      </c>
    </row>
    <row r="14" spans="1:10" x14ac:dyDescent="0.3">
      <c r="A14">
        <v>13</v>
      </c>
      <c r="B14" t="s">
        <v>258</v>
      </c>
      <c r="G14" t="s">
        <v>202</v>
      </c>
    </row>
    <row r="15" spans="1:10" x14ac:dyDescent="0.3">
      <c r="A15">
        <v>14</v>
      </c>
      <c r="B15" t="s">
        <v>260</v>
      </c>
      <c r="G15" t="s">
        <v>202</v>
      </c>
    </row>
    <row r="16" spans="1:10" x14ac:dyDescent="0.3">
      <c r="A16">
        <v>15</v>
      </c>
      <c r="B16" t="s">
        <v>262</v>
      </c>
      <c r="C16" s="2">
        <v>25388</v>
      </c>
      <c r="D16" t="s">
        <v>787</v>
      </c>
      <c r="E16" t="s">
        <v>788</v>
      </c>
      <c r="F16" t="s">
        <v>203</v>
      </c>
      <c r="G16" t="s">
        <v>202</v>
      </c>
      <c r="H16">
        <v>165</v>
      </c>
      <c r="I16">
        <v>58</v>
      </c>
    </row>
    <row r="17" spans="1:10" x14ac:dyDescent="0.3">
      <c r="A17">
        <v>16</v>
      </c>
      <c r="B17" t="s">
        <v>261</v>
      </c>
      <c r="C17" t="s">
        <v>789</v>
      </c>
      <c r="D17" t="s">
        <v>766</v>
      </c>
      <c r="E17" t="s">
        <v>40</v>
      </c>
      <c r="F17" t="s">
        <v>203</v>
      </c>
      <c r="G17" t="s">
        <v>202</v>
      </c>
      <c r="J17" s="2">
        <v>23960</v>
      </c>
    </row>
    <row r="18" spans="1:10" x14ac:dyDescent="0.3">
      <c r="A18">
        <v>17</v>
      </c>
      <c r="B18" t="s">
        <v>264</v>
      </c>
      <c r="C18" s="2">
        <v>23746</v>
      </c>
      <c r="D18" t="s">
        <v>790</v>
      </c>
      <c r="E18" t="s">
        <v>791</v>
      </c>
      <c r="F18" t="s">
        <v>792</v>
      </c>
      <c r="G18" t="s">
        <v>202</v>
      </c>
      <c r="H18">
        <v>189</v>
      </c>
      <c r="I18">
        <v>79</v>
      </c>
    </row>
    <row r="19" spans="1:10" x14ac:dyDescent="0.3">
      <c r="A19">
        <v>18</v>
      </c>
      <c r="B19" t="s">
        <v>234</v>
      </c>
      <c r="C19" s="2">
        <v>25127</v>
      </c>
      <c r="D19" t="s">
        <v>793</v>
      </c>
      <c r="E19" t="s">
        <v>779</v>
      </c>
      <c r="F19" t="s">
        <v>203</v>
      </c>
      <c r="G19" t="s">
        <v>202</v>
      </c>
      <c r="H19">
        <v>178</v>
      </c>
      <c r="I19">
        <v>73</v>
      </c>
    </row>
    <row r="20" spans="1:10" x14ac:dyDescent="0.3">
      <c r="A20">
        <v>19</v>
      </c>
      <c r="B20" t="s">
        <v>254</v>
      </c>
      <c r="C20" t="s">
        <v>794</v>
      </c>
      <c r="D20" t="s">
        <v>795</v>
      </c>
      <c r="E20" t="s">
        <v>796</v>
      </c>
      <c r="F20" t="s">
        <v>203</v>
      </c>
      <c r="G20" t="s">
        <v>202</v>
      </c>
      <c r="J20" s="2">
        <v>21403</v>
      </c>
    </row>
    <row r="21" spans="1:10" x14ac:dyDescent="0.3">
      <c r="A21">
        <v>20</v>
      </c>
      <c r="B21" t="s">
        <v>270</v>
      </c>
      <c r="C21" t="s">
        <v>797</v>
      </c>
      <c r="D21" t="s">
        <v>798</v>
      </c>
      <c r="E21" t="s">
        <v>40</v>
      </c>
      <c r="F21" t="s">
        <v>203</v>
      </c>
      <c r="G21" t="s">
        <v>202</v>
      </c>
      <c r="J21" s="2">
        <v>18968</v>
      </c>
    </row>
    <row r="22" spans="1:10" x14ac:dyDescent="0.3">
      <c r="A22">
        <v>21</v>
      </c>
      <c r="B22" t="s">
        <v>271</v>
      </c>
      <c r="C22" s="2">
        <v>313</v>
      </c>
      <c r="D22" t="s">
        <v>799</v>
      </c>
      <c r="E22" t="s">
        <v>40</v>
      </c>
      <c r="F22" t="s">
        <v>203</v>
      </c>
      <c r="G22" t="s">
        <v>202</v>
      </c>
      <c r="J22" s="2">
        <v>15450</v>
      </c>
    </row>
    <row r="23" spans="1:10" x14ac:dyDescent="0.3">
      <c r="A23">
        <v>22</v>
      </c>
      <c r="B23" t="s">
        <v>225</v>
      </c>
      <c r="C23" s="2">
        <v>1645</v>
      </c>
      <c r="D23" t="s">
        <v>800</v>
      </c>
      <c r="E23" t="s">
        <v>40</v>
      </c>
      <c r="F23" t="s">
        <v>203</v>
      </c>
      <c r="G23" t="s">
        <v>202</v>
      </c>
      <c r="J23" s="2">
        <v>35350</v>
      </c>
    </row>
    <row r="24" spans="1:10" x14ac:dyDescent="0.3">
      <c r="A24">
        <v>23</v>
      </c>
      <c r="B24" t="s">
        <v>273</v>
      </c>
      <c r="C24" t="s">
        <v>801</v>
      </c>
      <c r="D24" t="s">
        <v>802</v>
      </c>
      <c r="E24" t="s">
        <v>759</v>
      </c>
      <c r="F24" t="s">
        <v>203</v>
      </c>
      <c r="G24" t="s">
        <v>202</v>
      </c>
      <c r="J24" s="2">
        <v>28941</v>
      </c>
    </row>
    <row r="25" spans="1:10" x14ac:dyDescent="0.3">
      <c r="A25">
        <v>24</v>
      </c>
      <c r="B25" t="s">
        <v>275</v>
      </c>
      <c r="C25" t="s">
        <v>803</v>
      </c>
      <c r="D25" t="s">
        <v>804</v>
      </c>
      <c r="E25" t="s">
        <v>40</v>
      </c>
      <c r="F25" t="s">
        <v>203</v>
      </c>
      <c r="G25" t="s">
        <v>202</v>
      </c>
      <c r="J25" s="2">
        <v>22006</v>
      </c>
    </row>
    <row r="26" spans="1:10" x14ac:dyDescent="0.3">
      <c r="A26">
        <v>25</v>
      </c>
      <c r="B26" t="s">
        <v>276</v>
      </c>
      <c r="C26" t="s">
        <v>805</v>
      </c>
      <c r="D26" t="s">
        <v>806</v>
      </c>
      <c r="E26" t="s">
        <v>807</v>
      </c>
      <c r="F26" t="s">
        <v>203</v>
      </c>
      <c r="G26" t="s">
        <v>202</v>
      </c>
      <c r="J26" s="2">
        <v>14871</v>
      </c>
    </row>
    <row r="27" spans="1:10" x14ac:dyDescent="0.3">
      <c r="A27">
        <v>26</v>
      </c>
      <c r="B27" t="s">
        <v>265</v>
      </c>
      <c r="C27" s="2">
        <v>23196</v>
      </c>
      <c r="D27" t="s">
        <v>808</v>
      </c>
      <c r="E27" t="s">
        <v>809</v>
      </c>
      <c r="F27" t="s">
        <v>203</v>
      </c>
      <c r="G27" t="s">
        <v>202</v>
      </c>
      <c r="H27">
        <v>184</v>
      </c>
      <c r="I27">
        <v>78</v>
      </c>
    </row>
    <row r="28" spans="1:10" x14ac:dyDescent="0.3">
      <c r="A28">
        <v>27</v>
      </c>
      <c r="B28" t="s">
        <v>233</v>
      </c>
      <c r="C28" s="2">
        <v>26882</v>
      </c>
      <c r="D28" t="s">
        <v>810</v>
      </c>
      <c r="E28" t="s">
        <v>811</v>
      </c>
      <c r="F28" t="s">
        <v>203</v>
      </c>
      <c r="G28" t="s">
        <v>202</v>
      </c>
      <c r="H28">
        <v>177</v>
      </c>
      <c r="I28">
        <v>75</v>
      </c>
    </row>
    <row r="29" spans="1:10" x14ac:dyDescent="0.3">
      <c r="A29">
        <v>28</v>
      </c>
      <c r="B29" t="s">
        <v>245</v>
      </c>
      <c r="G29" t="s">
        <v>202</v>
      </c>
    </row>
    <row r="30" spans="1:10" x14ac:dyDescent="0.3">
      <c r="A30">
        <v>29</v>
      </c>
      <c r="B30" t="s">
        <v>812</v>
      </c>
      <c r="G30" t="s">
        <v>202</v>
      </c>
    </row>
    <row r="31" spans="1:10" x14ac:dyDescent="0.3">
      <c r="A31">
        <v>30</v>
      </c>
      <c r="B31" t="s">
        <v>229</v>
      </c>
      <c r="C31" t="s">
        <v>813</v>
      </c>
      <c r="D31" t="s">
        <v>814</v>
      </c>
      <c r="E31" t="s">
        <v>40</v>
      </c>
      <c r="F31" t="s">
        <v>203</v>
      </c>
      <c r="G31" t="s">
        <v>202</v>
      </c>
      <c r="J31" s="2">
        <v>21938</v>
      </c>
    </row>
    <row r="32" spans="1:10" x14ac:dyDescent="0.3">
      <c r="A32">
        <v>31</v>
      </c>
      <c r="B32" t="s">
        <v>238</v>
      </c>
      <c r="C32" t="s">
        <v>815</v>
      </c>
      <c r="D32" t="s">
        <v>766</v>
      </c>
      <c r="E32" t="s">
        <v>40</v>
      </c>
      <c r="F32" t="s">
        <v>203</v>
      </c>
      <c r="G32" t="s">
        <v>202</v>
      </c>
      <c r="J32" s="2">
        <v>18954</v>
      </c>
    </row>
    <row r="33" spans="1:10" x14ac:dyDescent="0.3">
      <c r="A33">
        <v>32</v>
      </c>
      <c r="B33" t="s">
        <v>222</v>
      </c>
      <c r="C33" s="2">
        <v>25613</v>
      </c>
      <c r="D33" t="s">
        <v>816</v>
      </c>
      <c r="E33" t="s">
        <v>779</v>
      </c>
      <c r="F33" t="s">
        <v>203</v>
      </c>
      <c r="G33" t="s">
        <v>202</v>
      </c>
      <c r="H33">
        <v>180</v>
      </c>
      <c r="I33">
        <v>77</v>
      </c>
    </row>
    <row r="34" spans="1:10" x14ac:dyDescent="0.3">
      <c r="A34">
        <v>33</v>
      </c>
      <c r="B34" t="s">
        <v>817</v>
      </c>
      <c r="C34" s="2">
        <v>24898</v>
      </c>
      <c r="D34" t="s">
        <v>818</v>
      </c>
      <c r="E34" t="s">
        <v>819</v>
      </c>
      <c r="F34" t="s">
        <v>203</v>
      </c>
      <c r="G34" t="s">
        <v>202</v>
      </c>
      <c r="H34">
        <v>180</v>
      </c>
      <c r="I34">
        <v>72</v>
      </c>
    </row>
    <row r="35" spans="1:10" x14ac:dyDescent="0.3">
      <c r="A35">
        <v>34</v>
      </c>
      <c r="B35" t="s">
        <v>274</v>
      </c>
      <c r="C35" t="s">
        <v>820</v>
      </c>
      <c r="D35" t="s">
        <v>758</v>
      </c>
      <c r="E35" t="s">
        <v>759</v>
      </c>
      <c r="F35" t="s">
        <v>203</v>
      </c>
      <c r="G35" t="s">
        <v>202</v>
      </c>
      <c r="J35" s="2">
        <v>23845</v>
      </c>
    </row>
    <row r="36" spans="1:10" x14ac:dyDescent="0.3">
      <c r="A36">
        <v>35</v>
      </c>
      <c r="B36" t="s">
        <v>821</v>
      </c>
      <c r="C36" s="2">
        <v>26642</v>
      </c>
      <c r="D36" t="s">
        <v>822</v>
      </c>
      <c r="E36" t="s">
        <v>823</v>
      </c>
      <c r="F36" t="s">
        <v>824</v>
      </c>
      <c r="G36" t="s">
        <v>202</v>
      </c>
      <c r="H36">
        <v>177</v>
      </c>
      <c r="I36">
        <v>68</v>
      </c>
    </row>
    <row r="37" spans="1:10" x14ac:dyDescent="0.3">
      <c r="A37">
        <v>36</v>
      </c>
      <c r="B37" t="s">
        <v>825</v>
      </c>
      <c r="C37" s="2">
        <v>24735</v>
      </c>
      <c r="D37" t="s">
        <v>771</v>
      </c>
      <c r="E37" t="s">
        <v>772</v>
      </c>
      <c r="F37" t="s">
        <v>203</v>
      </c>
      <c r="G37" t="s">
        <v>202</v>
      </c>
      <c r="H37">
        <v>186</v>
      </c>
      <c r="I37">
        <v>78</v>
      </c>
    </row>
    <row r="38" spans="1:10" x14ac:dyDescent="0.3">
      <c r="A38">
        <v>37</v>
      </c>
      <c r="B38" t="s">
        <v>826</v>
      </c>
      <c r="C38" t="s">
        <v>827</v>
      </c>
      <c r="D38" t="s">
        <v>828</v>
      </c>
      <c r="E38" t="s">
        <v>829</v>
      </c>
      <c r="F38" t="s">
        <v>203</v>
      </c>
      <c r="G38" t="s">
        <v>202</v>
      </c>
      <c r="J38" s="2">
        <v>22115</v>
      </c>
    </row>
    <row r="39" spans="1:10" x14ac:dyDescent="0.3">
      <c r="A39">
        <v>38</v>
      </c>
      <c r="B39" t="s">
        <v>830</v>
      </c>
      <c r="C39" t="s">
        <v>831</v>
      </c>
      <c r="D39" t="s">
        <v>832</v>
      </c>
      <c r="E39" t="s">
        <v>769</v>
      </c>
      <c r="F39" t="s">
        <v>770</v>
      </c>
      <c r="G39" t="s">
        <v>486</v>
      </c>
      <c r="J39" s="2">
        <v>17313</v>
      </c>
    </row>
    <row r="40" spans="1:10" x14ac:dyDescent="0.3">
      <c r="A40">
        <v>39</v>
      </c>
      <c r="B40" t="s">
        <v>833</v>
      </c>
      <c r="C40" t="s">
        <v>834</v>
      </c>
      <c r="D40" t="s">
        <v>835</v>
      </c>
      <c r="E40" t="s">
        <v>769</v>
      </c>
      <c r="F40" t="s">
        <v>770</v>
      </c>
      <c r="G40" t="s">
        <v>486</v>
      </c>
      <c r="J40" s="2">
        <v>26429</v>
      </c>
    </row>
    <row r="41" spans="1:10" x14ac:dyDescent="0.3">
      <c r="A41">
        <v>40</v>
      </c>
      <c r="B41" t="s">
        <v>836</v>
      </c>
      <c r="C41" t="s">
        <v>837</v>
      </c>
      <c r="D41" t="s">
        <v>838</v>
      </c>
      <c r="E41" t="s">
        <v>769</v>
      </c>
      <c r="F41" t="s">
        <v>770</v>
      </c>
      <c r="G41" t="s">
        <v>486</v>
      </c>
      <c r="J41" s="2">
        <v>25621</v>
      </c>
    </row>
    <row r="42" spans="1:10" x14ac:dyDescent="0.3">
      <c r="A42">
        <v>41</v>
      </c>
      <c r="B42" t="s">
        <v>839</v>
      </c>
      <c r="C42" s="2">
        <v>24515</v>
      </c>
      <c r="D42" t="s">
        <v>840</v>
      </c>
      <c r="E42" t="s">
        <v>769</v>
      </c>
      <c r="F42" t="s">
        <v>770</v>
      </c>
      <c r="G42" t="s">
        <v>486</v>
      </c>
      <c r="H42">
        <v>175</v>
      </c>
      <c r="I42">
        <v>64</v>
      </c>
    </row>
    <row r="43" spans="1:10" x14ac:dyDescent="0.3">
      <c r="A43">
        <v>42</v>
      </c>
      <c r="B43" t="s">
        <v>841</v>
      </c>
      <c r="C43" s="2">
        <v>22526</v>
      </c>
      <c r="D43" t="s">
        <v>842</v>
      </c>
      <c r="E43" t="s">
        <v>842</v>
      </c>
      <c r="F43" t="s">
        <v>843</v>
      </c>
      <c r="G43" t="s">
        <v>486</v>
      </c>
      <c r="H43">
        <v>176</v>
      </c>
      <c r="I43">
        <v>68</v>
      </c>
    </row>
    <row r="44" spans="1:10" x14ac:dyDescent="0.3">
      <c r="A44">
        <v>43</v>
      </c>
      <c r="B44" t="s">
        <v>844</v>
      </c>
      <c r="C44" t="s">
        <v>845</v>
      </c>
      <c r="D44" t="s">
        <v>846</v>
      </c>
      <c r="E44" t="s">
        <v>769</v>
      </c>
      <c r="F44" t="s">
        <v>770</v>
      </c>
      <c r="G44" t="s">
        <v>486</v>
      </c>
      <c r="J44" s="2">
        <v>13570</v>
      </c>
    </row>
    <row r="45" spans="1:10" x14ac:dyDescent="0.3">
      <c r="A45">
        <v>44</v>
      </c>
      <c r="B45" t="s">
        <v>847</v>
      </c>
      <c r="C45" s="2">
        <v>959</v>
      </c>
      <c r="D45" t="s">
        <v>768</v>
      </c>
      <c r="E45" t="s">
        <v>769</v>
      </c>
      <c r="F45" t="s">
        <v>770</v>
      </c>
      <c r="G45" t="s">
        <v>486</v>
      </c>
      <c r="J45" s="2">
        <v>11266</v>
      </c>
    </row>
    <row r="46" spans="1:10" x14ac:dyDescent="0.3">
      <c r="A46">
        <v>45</v>
      </c>
      <c r="B46" t="s">
        <v>247</v>
      </c>
      <c r="C46" t="s">
        <v>848</v>
      </c>
      <c r="D46" t="s">
        <v>849</v>
      </c>
      <c r="E46" t="s">
        <v>769</v>
      </c>
      <c r="F46" t="s">
        <v>770</v>
      </c>
      <c r="G46" t="s">
        <v>486</v>
      </c>
      <c r="J46" s="2">
        <v>24390</v>
      </c>
    </row>
    <row r="47" spans="1:10" x14ac:dyDescent="0.3">
      <c r="A47">
        <v>46</v>
      </c>
      <c r="B47" t="s">
        <v>850</v>
      </c>
      <c r="C47" t="s">
        <v>851</v>
      </c>
      <c r="D47" t="s">
        <v>852</v>
      </c>
      <c r="E47" t="s">
        <v>769</v>
      </c>
      <c r="F47" t="s">
        <v>770</v>
      </c>
      <c r="G47" t="s">
        <v>486</v>
      </c>
      <c r="J47" s="2">
        <v>30252</v>
      </c>
    </row>
    <row r="48" spans="1:10" x14ac:dyDescent="0.3">
      <c r="A48">
        <v>47</v>
      </c>
      <c r="B48" t="s">
        <v>853</v>
      </c>
      <c r="C48" t="s">
        <v>854</v>
      </c>
      <c r="D48" t="s">
        <v>855</v>
      </c>
      <c r="E48" t="s">
        <v>769</v>
      </c>
      <c r="F48" t="s">
        <v>770</v>
      </c>
      <c r="G48" t="s">
        <v>486</v>
      </c>
      <c r="J48" s="2">
        <v>15237</v>
      </c>
    </row>
    <row r="49" spans="1:10" x14ac:dyDescent="0.3">
      <c r="A49">
        <v>48</v>
      </c>
      <c r="B49" t="s">
        <v>856</v>
      </c>
      <c r="C49" s="2">
        <v>23510</v>
      </c>
      <c r="D49" t="s">
        <v>857</v>
      </c>
      <c r="E49" t="s">
        <v>769</v>
      </c>
      <c r="F49" t="s">
        <v>770</v>
      </c>
      <c r="G49" t="s">
        <v>486</v>
      </c>
      <c r="H49">
        <v>190</v>
      </c>
      <c r="I49">
        <v>85</v>
      </c>
    </row>
    <row r="50" spans="1:10" x14ac:dyDescent="0.3">
      <c r="A50">
        <v>49</v>
      </c>
      <c r="B50" t="s">
        <v>858</v>
      </c>
      <c r="C50" s="2">
        <v>23011</v>
      </c>
      <c r="D50" t="s">
        <v>859</v>
      </c>
      <c r="E50" t="s">
        <v>769</v>
      </c>
      <c r="F50" t="s">
        <v>770</v>
      </c>
      <c r="G50" t="s">
        <v>486</v>
      </c>
      <c r="H50">
        <v>175</v>
      </c>
      <c r="I50">
        <v>68</v>
      </c>
    </row>
    <row r="51" spans="1:10" x14ac:dyDescent="0.3">
      <c r="A51">
        <v>50</v>
      </c>
      <c r="B51" t="s">
        <v>860</v>
      </c>
      <c r="C51" s="2">
        <v>23476</v>
      </c>
      <c r="G51" t="s">
        <v>486</v>
      </c>
      <c r="H51">
        <v>157</v>
      </c>
      <c r="I51">
        <v>55</v>
      </c>
    </row>
    <row r="52" spans="1:10" x14ac:dyDescent="0.3">
      <c r="A52">
        <v>51</v>
      </c>
      <c r="B52" t="s">
        <v>861</v>
      </c>
      <c r="C52" t="s">
        <v>862</v>
      </c>
      <c r="D52" t="s">
        <v>863</v>
      </c>
      <c r="E52" t="s">
        <v>769</v>
      </c>
      <c r="F52" t="s">
        <v>770</v>
      </c>
      <c r="G52" t="s">
        <v>486</v>
      </c>
      <c r="J52" s="2">
        <v>20754</v>
      </c>
    </row>
    <row r="53" spans="1:10" x14ac:dyDescent="0.3">
      <c r="A53">
        <v>52</v>
      </c>
      <c r="B53" t="s">
        <v>864</v>
      </c>
      <c r="C53" t="s">
        <v>865</v>
      </c>
      <c r="D53" t="s">
        <v>866</v>
      </c>
      <c r="E53" t="s">
        <v>769</v>
      </c>
      <c r="F53" t="s">
        <v>770</v>
      </c>
      <c r="G53" t="s">
        <v>486</v>
      </c>
      <c r="J53" s="2">
        <v>18644</v>
      </c>
    </row>
    <row r="54" spans="1:10" x14ac:dyDescent="0.3">
      <c r="A54">
        <v>53</v>
      </c>
      <c r="B54" t="s">
        <v>867</v>
      </c>
      <c r="C54" t="s">
        <v>868</v>
      </c>
      <c r="D54" t="s">
        <v>869</v>
      </c>
      <c r="E54" t="s">
        <v>769</v>
      </c>
      <c r="F54" t="s">
        <v>770</v>
      </c>
      <c r="G54" t="s">
        <v>486</v>
      </c>
      <c r="J54" s="2">
        <v>25004</v>
      </c>
    </row>
    <row r="55" spans="1:10" x14ac:dyDescent="0.3">
      <c r="A55">
        <v>54</v>
      </c>
      <c r="B55" t="s">
        <v>870</v>
      </c>
      <c r="C55" s="2">
        <v>25883</v>
      </c>
      <c r="D55" t="s">
        <v>871</v>
      </c>
      <c r="E55" t="s">
        <v>769</v>
      </c>
      <c r="F55" t="s">
        <v>770</v>
      </c>
      <c r="G55" t="s">
        <v>486</v>
      </c>
      <c r="H55">
        <v>168</v>
      </c>
      <c r="I55">
        <v>64</v>
      </c>
    </row>
    <row r="56" spans="1:10" x14ac:dyDescent="0.3">
      <c r="A56">
        <v>55</v>
      </c>
      <c r="B56" t="s">
        <v>872</v>
      </c>
      <c r="C56" s="2">
        <v>24675</v>
      </c>
      <c r="D56" t="s">
        <v>873</v>
      </c>
      <c r="E56" t="s">
        <v>874</v>
      </c>
      <c r="F56" t="s">
        <v>60</v>
      </c>
      <c r="G56" t="s">
        <v>486</v>
      </c>
      <c r="H56">
        <v>177</v>
      </c>
      <c r="I56">
        <v>64</v>
      </c>
    </row>
    <row r="57" spans="1:10" x14ac:dyDescent="0.3">
      <c r="A57">
        <v>56</v>
      </c>
      <c r="B57" t="s">
        <v>875</v>
      </c>
      <c r="C57" s="2">
        <v>25122</v>
      </c>
      <c r="D57" t="s">
        <v>857</v>
      </c>
      <c r="E57" t="s">
        <v>769</v>
      </c>
      <c r="F57" t="s">
        <v>770</v>
      </c>
      <c r="G57" t="s">
        <v>486</v>
      </c>
      <c r="H57">
        <v>173</v>
      </c>
      <c r="I57">
        <v>61</v>
      </c>
    </row>
    <row r="58" spans="1:10" x14ac:dyDescent="0.3">
      <c r="A58">
        <v>57</v>
      </c>
      <c r="B58" t="s">
        <v>876</v>
      </c>
      <c r="C58" t="s">
        <v>877</v>
      </c>
      <c r="D58" t="s">
        <v>849</v>
      </c>
      <c r="E58" t="s">
        <v>769</v>
      </c>
      <c r="F58" t="s">
        <v>770</v>
      </c>
      <c r="G58" t="s">
        <v>486</v>
      </c>
      <c r="J58" s="2">
        <v>21922</v>
      </c>
    </row>
    <row r="59" spans="1:10" x14ac:dyDescent="0.3">
      <c r="A59">
        <v>58</v>
      </c>
      <c r="B59" t="s">
        <v>878</v>
      </c>
      <c r="C59" s="2">
        <v>24540</v>
      </c>
      <c r="D59" t="s">
        <v>879</v>
      </c>
      <c r="E59" t="s">
        <v>769</v>
      </c>
      <c r="F59" t="s">
        <v>770</v>
      </c>
      <c r="G59" t="s">
        <v>486</v>
      </c>
      <c r="H59">
        <v>168</v>
      </c>
      <c r="I59">
        <v>63</v>
      </c>
    </row>
    <row r="60" spans="1:10" x14ac:dyDescent="0.3">
      <c r="A60">
        <v>59</v>
      </c>
      <c r="B60" t="s">
        <v>880</v>
      </c>
      <c r="C60" t="s">
        <v>881</v>
      </c>
      <c r="D60" t="s">
        <v>882</v>
      </c>
      <c r="E60" t="s">
        <v>769</v>
      </c>
      <c r="F60" t="s">
        <v>770</v>
      </c>
      <c r="G60" t="s">
        <v>486</v>
      </c>
      <c r="J60" s="2">
        <v>33774</v>
      </c>
    </row>
    <row r="61" spans="1:10" x14ac:dyDescent="0.3">
      <c r="A61">
        <v>60</v>
      </c>
      <c r="B61" t="s">
        <v>883</v>
      </c>
      <c r="C61" t="s">
        <v>884</v>
      </c>
      <c r="D61" t="s">
        <v>885</v>
      </c>
      <c r="E61" t="s">
        <v>769</v>
      </c>
      <c r="F61" t="s">
        <v>770</v>
      </c>
      <c r="G61" t="s">
        <v>486</v>
      </c>
      <c r="J61" s="2">
        <v>19811</v>
      </c>
    </row>
    <row r="62" spans="1:10" x14ac:dyDescent="0.3">
      <c r="A62">
        <v>61</v>
      </c>
      <c r="B62" t="s">
        <v>886</v>
      </c>
      <c r="C62" s="2">
        <v>27536</v>
      </c>
      <c r="D62" t="s">
        <v>887</v>
      </c>
      <c r="E62" t="s">
        <v>888</v>
      </c>
      <c r="F62" t="s">
        <v>770</v>
      </c>
      <c r="G62" t="s">
        <v>486</v>
      </c>
      <c r="H62">
        <v>178</v>
      </c>
      <c r="I62">
        <v>65</v>
      </c>
    </row>
    <row r="63" spans="1:10" x14ac:dyDescent="0.3">
      <c r="A63">
        <v>62</v>
      </c>
      <c r="B63" t="s">
        <v>889</v>
      </c>
      <c r="C63" t="s">
        <v>890</v>
      </c>
      <c r="D63" t="s">
        <v>891</v>
      </c>
      <c r="E63" t="s">
        <v>769</v>
      </c>
      <c r="F63" t="s">
        <v>770</v>
      </c>
      <c r="G63" t="s">
        <v>486</v>
      </c>
      <c r="J63" s="2">
        <v>19089</v>
      </c>
    </row>
    <row r="64" spans="1:10" x14ac:dyDescent="0.3">
      <c r="A64">
        <v>63</v>
      </c>
      <c r="B64" t="s">
        <v>892</v>
      </c>
      <c r="C64" s="2">
        <v>25296</v>
      </c>
      <c r="D64" t="s">
        <v>27</v>
      </c>
      <c r="E64" t="s">
        <v>769</v>
      </c>
      <c r="F64" t="s">
        <v>770</v>
      </c>
      <c r="G64" t="s">
        <v>486</v>
      </c>
      <c r="H64">
        <v>157</v>
      </c>
      <c r="I64">
        <v>59</v>
      </c>
    </row>
    <row r="65" spans="1:10" x14ac:dyDescent="0.3">
      <c r="A65">
        <v>64</v>
      </c>
      <c r="B65" t="s">
        <v>893</v>
      </c>
      <c r="C65" t="s">
        <v>894</v>
      </c>
      <c r="D65" t="s">
        <v>27</v>
      </c>
      <c r="E65" t="s">
        <v>769</v>
      </c>
      <c r="F65" t="s">
        <v>770</v>
      </c>
      <c r="G65" t="s">
        <v>486</v>
      </c>
      <c r="J65" s="2">
        <v>22870</v>
      </c>
    </row>
    <row r="66" spans="1:10" x14ac:dyDescent="0.3">
      <c r="A66">
        <v>65</v>
      </c>
      <c r="B66" t="s">
        <v>895</v>
      </c>
      <c r="C66" t="s">
        <v>896</v>
      </c>
      <c r="D66" t="s">
        <v>897</v>
      </c>
      <c r="E66" t="s">
        <v>769</v>
      </c>
      <c r="F66" t="s">
        <v>770</v>
      </c>
      <c r="G66" t="s">
        <v>486</v>
      </c>
      <c r="J66" s="2">
        <v>20161</v>
      </c>
    </row>
    <row r="67" spans="1:10" x14ac:dyDescent="0.3">
      <c r="A67">
        <v>66</v>
      </c>
      <c r="B67" t="s">
        <v>898</v>
      </c>
      <c r="C67" s="2">
        <v>24744</v>
      </c>
      <c r="D67" t="s">
        <v>899</v>
      </c>
      <c r="E67" t="s">
        <v>769</v>
      </c>
      <c r="F67" t="s">
        <v>770</v>
      </c>
      <c r="G67" t="s">
        <v>486</v>
      </c>
      <c r="H67">
        <v>170</v>
      </c>
      <c r="I67">
        <v>68</v>
      </c>
    </row>
    <row r="68" spans="1:10" x14ac:dyDescent="0.3">
      <c r="A68">
        <v>67</v>
      </c>
      <c r="B68" t="s">
        <v>900</v>
      </c>
      <c r="C68" t="s">
        <v>901</v>
      </c>
      <c r="D68" t="s">
        <v>902</v>
      </c>
      <c r="E68" t="s">
        <v>769</v>
      </c>
      <c r="F68" t="s">
        <v>770</v>
      </c>
      <c r="G68" t="s">
        <v>486</v>
      </c>
      <c r="J68" s="2">
        <v>22666</v>
      </c>
    </row>
    <row r="69" spans="1:10" x14ac:dyDescent="0.3">
      <c r="A69">
        <v>68</v>
      </c>
      <c r="B69" t="s">
        <v>903</v>
      </c>
      <c r="C69" t="s">
        <v>904</v>
      </c>
      <c r="D69" t="s">
        <v>905</v>
      </c>
      <c r="E69" t="s">
        <v>769</v>
      </c>
      <c r="F69" t="s">
        <v>770</v>
      </c>
      <c r="G69" t="s">
        <v>486</v>
      </c>
      <c r="J69" s="2">
        <v>19410</v>
      </c>
    </row>
    <row r="70" spans="1:10" x14ac:dyDescent="0.3">
      <c r="A70">
        <v>69</v>
      </c>
      <c r="B70" t="s">
        <v>906</v>
      </c>
      <c r="C70" s="2">
        <v>26264</v>
      </c>
      <c r="D70" t="s">
        <v>907</v>
      </c>
      <c r="E70" t="s">
        <v>769</v>
      </c>
      <c r="F70" t="s">
        <v>770</v>
      </c>
      <c r="G70" t="s">
        <v>486</v>
      </c>
      <c r="H70">
        <v>175</v>
      </c>
      <c r="I70">
        <v>62</v>
      </c>
    </row>
    <row r="71" spans="1:10" x14ac:dyDescent="0.3">
      <c r="A71">
        <v>70</v>
      </c>
      <c r="B71" t="s">
        <v>908</v>
      </c>
      <c r="C71" s="2">
        <v>23688</v>
      </c>
      <c r="D71" t="s">
        <v>909</v>
      </c>
      <c r="E71" t="s">
        <v>769</v>
      </c>
      <c r="F71" t="s">
        <v>770</v>
      </c>
      <c r="G71" t="s">
        <v>486</v>
      </c>
      <c r="H71">
        <v>172</v>
      </c>
      <c r="I71">
        <v>63</v>
      </c>
    </row>
    <row r="72" spans="1:10" x14ac:dyDescent="0.3">
      <c r="A72">
        <v>71</v>
      </c>
      <c r="B72" t="s">
        <v>910</v>
      </c>
      <c r="C72" t="s">
        <v>911</v>
      </c>
      <c r="D72" t="s">
        <v>912</v>
      </c>
      <c r="E72" t="s">
        <v>769</v>
      </c>
      <c r="F72" t="s">
        <v>770</v>
      </c>
      <c r="G72" t="s">
        <v>486</v>
      </c>
      <c r="J72" s="2">
        <v>19002</v>
      </c>
    </row>
    <row r="73" spans="1:10" x14ac:dyDescent="0.3">
      <c r="A73">
        <v>72</v>
      </c>
      <c r="B73" t="s">
        <v>913</v>
      </c>
      <c r="C73" s="2">
        <v>24905</v>
      </c>
      <c r="D73" t="s">
        <v>914</v>
      </c>
      <c r="E73" t="s">
        <v>915</v>
      </c>
      <c r="F73" t="s">
        <v>916</v>
      </c>
      <c r="G73" t="s">
        <v>486</v>
      </c>
      <c r="H73">
        <v>175</v>
      </c>
      <c r="I73">
        <v>65</v>
      </c>
    </row>
    <row r="74" spans="1:10" x14ac:dyDescent="0.3">
      <c r="A74">
        <v>73</v>
      </c>
      <c r="B74" t="s">
        <v>917</v>
      </c>
      <c r="C74" s="2">
        <v>26620</v>
      </c>
      <c r="D74" t="s">
        <v>918</v>
      </c>
      <c r="E74" t="s">
        <v>769</v>
      </c>
      <c r="F74" t="s">
        <v>770</v>
      </c>
      <c r="G74" t="s">
        <v>486</v>
      </c>
      <c r="H74">
        <v>171</v>
      </c>
      <c r="I74">
        <v>68</v>
      </c>
    </row>
    <row r="75" spans="1:10" x14ac:dyDescent="0.3">
      <c r="A75">
        <v>74</v>
      </c>
      <c r="B75" t="s">
        <v>919</v>
      </c>
      <c r="C75" s="2">
        <v>22736</v>
      </c>
      <c r="D75" t="s">
        <v>920</v>
      </c>
      <c r="E75" t="s">
        <v>769</v>
      </c>
      <c r="F75" t="s">
        <v>770</v>
      </c>
      <c r="G75" t="s">
        <v>486</v>
      </c>
      <c r="H75">
        <v>185</v>
      </c>
      <c r="I75">
        <v>78</v>
      </c>
    </row>
    <row r="76" spans="1:10" x14ac:dyDescent="0.3">
      <c r="A76">
        <v>75</v>
      </c>
      <c r="B76" t="s">
        <v>921</v>
      </c>
      <c r="C76" s="2">
        <v>26842</v>
      </c>
      <c r="D76" t="s">
        <v>922</v>
      </c>
      <c r="E76" t="s">
        <v>769</v>
      </c>
      <c r="F76" t="s">
        <v>770</v>
      </c>
      <c r="G76" t="s">
        <v>486</v>
      </c>
      <c r="H76">
        <v>189</v>
      </c>
      <c r="I76">
        <v>86</v>
      </c>
    </row>
    <row r="77" spans="1:10" x14ac:dyDescent="0.3">
      <c r="A77">
        <v>76</v>
      </c>
      <c r="B77" t="s">
        <v>923</v>
      </c>
      <c r="C77" t="s">
        <v>924</v>
      </c>
      <c r="D77" t="s">
        <v>863</v>
      </c>
      <c r="E77" t="s">
        <v>769</v>
      </c>
      <c r="F77" t="s">
        <v>770</v>
      </c>
      <c r="G77" t="s">
        <v>486</v>
      </c>
      <c r="J77" s="2">
        <v>15914</v>
      </c>
    </row>
    <row r="78" spans="1:10" x14ac:dyDescent="0.3">
      <c r="A78">
        <v>77</v>
      </c>
      <c r="B78" t="s">
        <v>925</v>
      </c>
      <c r="C78" s="2">
        <v>22816</v>
      </c>
      <c r="D78" t="s">
        <v>926</v>
      </c>
      <c r="E78" t="s">
        <v>769</v>
      </c>
      <c r="F78" t="s">
        <v>770</v>
      </c>
      <c r="G78" t="s">
        <v>486</v>
      </c>
      <c r="H78">
        <v>180</v>
      </c>
      <c r="I78">
        <v>72</v>
      </c>
    </row>
    <row r="79" spans="1:10" x14ac:dyDescent="0.3">
      <c r="A79">
        <v>78</v>
      </c>
      <c r="B79" t="s">
        <v>927</v>
      </c>
      <c r="C79" t="s">
        <v>928</v>
      </c>
      <c r="D79" t="s">
        <v>929</v>
      </c>
      <c r="E79" t="s">
        <v>769</v>
      </c>
      <c r="F79" t="s">
        <v>770</v>
      </c>
      <c r="G79" t="s">
        <v>486</v>
      </c>
      <c r="J79" s="2">
        <v>16130</v>
      </c>
    </row>
    <row r="80" spans="1:10" x14ac:dyDescent="0.3">
      <c r="A80">
        <v>79</v>
      </c>
      <c r="B80" t="s">
        <v>930</v>
      </c>
      <c r="C80" t="s">
        <v>931</v>
      </c>
      <c r="D80" t="s">
        <v>932</v>
      </c>
      <c r="E80" t="s">
        <v>932</v>
      </c>
      <c r="F80" t="s">
        <v>933</v>
      </c>
      <c r="G80" t="s">
        <v>486</v>
      </c>
      <c r="J80" s="2">
        <v>21261</v>
      </c>
    </row>
    <row r="81" spans="1:10" x14ac:dyDescent="0.3">
      <c r="A81">
        <v>80</v>
      </c>
      <c r="B81" t="s">
        <v>934</v>
      </c>
      <c r="C81" s="2">
        <v>24431</v>
      </c>
      <c r="D81" t="s">
        <v>935</v>
      </c>
      <c r="E81" t="s">
        <v>936</v>
      </c>
      <c r="F81" t="s">
        <v>916</v>
      </c>
      <c r="G81" t="s">
        <v>486</v>
      </c>
      <c r="H81">
        <v>191</v>
      </c>
      <c r="I81">
        <v>87</v>
      </c>
    </row>
    <row r="82" spans="1:10" x14ac:dyDescent="0.3">
      <c r="A82">
        <v>81</v>
      </c>
      <c r="B82" t="s">
        <v>937</v>
      </c>
      <c r="C82" t="s">
        <v>938</v>
      </c>
      <c r="D82" t="s">
        <v>939</v>
      </c>
      <c r="E82" t="s">
        <v>940</v>
      </c>
      <c r="F82" t="s">
        <v>941</v>
      </c>
      <c r="G82" t="s">
        <v>486</v>
      </c>
      <c r="J82" s="2">
        <v>13626</v>
      </c>
    </row>
    <row r="83" spans="1:10" x14ac:dyDescent="0.3">
      <c r="A83">
        <v>82</v>
      </c>
      <c r="B83" t="s">
        <v>942</v>
      </c>
      <c r="C83" s="2">
        <v>23330</v>
      </c>
      <c r="D83" t="s">
        <v>943</v>
      </c>
      <c r="E83" t="s">
        <v>769</v>
      </c>
      <c r="F83" t="s">
        <v>770</v>
      </c>
      <c r="G83" t="s">
        <v>486</v>
      </c>
      <c r="H83">
        <v>190</v>
      </c>
      <c r="I83">
        <v>74</v>
      </c>
    </row>
    <row r="84" spans="1:10" x14ac:dyDescent="0.3">
      <c r="A84">
        <v>83</v>
      </c>
      <c r="B84" t="s">
        <v>944</v>
      </c>
      <c r="C84" t="s">
        <v>945</v>
      </c>
      <c r="G84" t="s">
        <v>486</v>
      </c>
      <c r="J84" s="2">
        <v>18345</v>
      </c>
    </row>
    <row r="85" spans="1:10" x14ac:dyDescent="0.3">
      <c r="A85">
        <v>84</v>
      </c>
      <c r="B85" t="s">
        <v>946</v>
      </c>
      <c r="C85" s="2">
        <v>21945</v>
      </c>
      <c r="D85" t="s">
        <v>947</v>
      </c>
      <c r="E85" t="s">
        <v>948</v>
      </c>
      <c r="F85" t="s">
        <v>18</v>
      </c>
      <c r="G85" t="s">
        <v>486</v>
      </c>
      <c r="H85">
        <v>175</v>
      </c>
      <c r="I85">
        <v>71</v>
      </c>
    </row>
    <row r="86" spans="1:10" x14ac:dyDescent="0.3">
      <c r="A86">
        <v>85</v>
      </c>
      <c r="B86" t="s">
        <v>949</v>
      </c>
      <c r="C86" s="2">
        <v>24189</v>
      </c>
      <c r="D86" t="s">
        <v>950</v>
      </c>
      <c r="E86" t="s">
        <v>769</v>
      </c>
      <c r="F86" t="s">
        <v>770</v>
      </c>
      <c r="G86" t="s">
        <v>486</v>
      </c>
      <c r="H86">
        <v>170</v>
      </c>
      <c r="I86">
        <v>64</v>
      </c>
    </row>
    <row r="87" spans="1:10" x14ac:dyDescent="0.3">
      <c r="A87">
        <v>86</v>
      </c>
      <c r="B87" t="s">
        <v>951</v>
      </c>
      <c r="C87" t="s">
        <v>952</v>
      </c>
      <c r="D87" t="s">
        <v>953</v>
      </c>
      <c r="E87" t="s">
        <v>769</v>
      </c>
      <c r="F87" t="s">
        <v>770</v>
      </c>
      <c r="G87" t="s">
        <v>486</v>
      </c>
      <c r="J87" s="2">
        <v>14895</v>
      </c>
    </row>
    <row r="88" spans="1:10" x14ac:dyDescent="0.3">
      <c r="A88">
        <v>87</v>
      </c>
      <c r="B88" t="s">
        <v>954</v>
      </c>
      <c r="C88" t="s">
        <v>955</v>
      </c>
      <c r="D88" t="s">
        <v>956</v>
      </c>
      <c r="E88" t="s">
        <v>769</v>
      </c>
      <c r="F88" t="s">
        <v>770</v>
      </c>
      <c r="G88" t="s">
        <v>486</v>
      </c>
      <c r="J88" s="2">
        <v>14364</v>
      </c>
    </row>
    <row r="89" spans="1:10" x14ac:dyDescent="0.3">
      <c r="A89">
        <v>88</v>
      </c>
      <c r="B89" t="s">
        <v>957</v>
      </c>
      <c r="C89" t="s">
        <v>958</v>
      </c>
      <c r="D89" t="s">
        <v>504</v>
      </c>
      <c r="E89" t="s">
        <v>769</v>
      </c>
      <c r="F89" t="s">
        <v>770</v>
      </c>
      <c r="G89" t="s">
        <v>486</v>
      </c>
      <c r="H89">
        <v>178</v>
      </c>
      <c r="J89" s="2">
        <v>7173</v>
      </c>
    </row>
    <row r="90" spans="1:10" x14ac:dyDescent="0.3">
      <c r="A90">
        <v>89</v>
      </c>
      <c r="B90" t="s">
        <v>959</v>
      </c>
      <c r="C90" t="s">
        <v>960</v>
      </c>
      <c r="D90" t="s">
        <v>504</v>
      </c>
      <c r="E90" t="s">
        <v>769</v>
      </c>
      <c r="F90" t="s">
        <v>770</v>
      </c>
      <c r="G90" t="s">
        <v>486</v>
      </c>
      <c r="J90" s="2">
        <v>4016</v>
      </c>
    </row>
    <row r="91" spans="1:10" x14ac:dyDescent="0.3">
      <c r="A91">
        <v>90</v>
      </c>
      <c r="B91" t="s">
        <v>961</v>
      </c>
      <c r="C91" s="2">
        <v>20290</v>
      </c>
      <c r="D91" t="s">
        <v>962</v>
      </c>
      <c r="E91" t="s">
        <v>962</v>
      </c>
      <c r="F91" t="s">
        <v>963</v>
      </c>
      <c r="G91" t="s">
        <v>486</v>
      </c>
      <c r="H91">
        <v>175</v>
      </c>
      <c r="I91">
        <v>66</v>
      </c>
    </row>
    <row r="92" spans="1:10" x14ac:dyDescent="0.3">
      <c r="A92">
        <v>91</v>
      </c>
      <c r="B92" t="s">
        <v>964</v>
      </c>
      <c r="C92" t="s">
        <v>965</v>
      </c>
      <c r="D92" t="s">
        <v>966</v>
      </c>
      <c r="E92" t="s">
        <v>967</v>
      </c>
      <c r="F92" t="s">
        <v>968</v>
      </c>
      <c r="G92" t="s">
        <v>486</v>
      </c>
      <c r="J92" s="2">
        <v>7346</v>
      </c>
    </row>
    <row r="93" spans="1:10" x14ac:dyDescent="0.3">
      <c r="A93">
        <v>92</v>
      </c>
      <c r="B93" t="s">
        <v>969</v>
      </c>
      <c r="C93" t="s">
        <v>970</v>
      </c>
      <c r="D93" t="s">
        <v>971</v>
      </c>
      <c r="E93" t="s">
        <v>915</v>
      </c>
      <c r="F93" t="s">
        <v>916</v>
      </c>
      <c r="G93" t="s">
        <v>486</v>
      </c>
      <c r="J93" s="2">
        <v>5402</v>
      </c>
    </row>
    <row r="94" spans="1:10" x14ac:dyDescent="0.3">
      <c r="A94">
        <v>93</v>
      </c>
      <c r="B94" t="s">
        <v>972</v>
      </c>
      <c r="C94" s="2">
        <v>25137</v>
      </c>
      <c r="D94" t="s">
        <v>973</v>
      </c>
      <c r="E94" t="s">
        <v>974</v>
      </c>
      <c r="F94" t="s">
        <v>770</v>
      </c>
      <c r="G94" t="s">
        <v>486</v>
      </c>
      <c r="H94">
        <v>173</v>
      </c>
      <c r="I94">
        <v>70</v>
      </c>
    </row>
    <row r="95" spans="1:10" x14ac:dyDescent="0.3">
      <c r="A95">
        <v>94</v>
      </c>
      <c r="B95" t="s">
        <v>975</v>
      </c>
      <c r="C95" t="s">
        <v>976</v>
      </c>
      <c r="D95" t="s">
        <v>977</v>
      </c>
      <c r="E95" t="s">
        <v>769</v>
      </c>
      <c r="F95" t="s">
        <v>770</v>
      </c>
      <c r="G95" t="s">
        <v>486</v>
      </c>
      <c r="J95" s="2">
        <v>27238</v>
      </c>
    </row>
    <row r="96" spans="1:10" x14ac:dyDescent="0.3">
      <c r="A96">
        <v>95</v>
      </c>
      <c r="B96" t="s">
        <v>978</v>
      </c>
      <c r="C96" t="s">
        <v>979</v>
      </c>
      <c r="D96" t="s">
        <v>980</v>
      </c>
      <c r="E96" t="s">
        <v>769</v>
      </c>
      <c r="F96" t="s">
        <v>770</v>
      </c>
      <c r="G96" t="s">
        <v>486</v>
      </c>
      <c r="J96" s="2">
        <v>26254</v>
      </c>
    </row>
    <row r="97" spans="1:10" x14ac:dyDescent="0.3">
      <c r="A97">
        <v>96</v>
      </c>
      <c r="B97" t="s">
        <v>981</v>
      </c>
      <c r="C97" s="2">
        <v>21945</v>
      </c>
      <c r="D97" t="s">
        <v>982</v>
      </c>
      <c r="E97" t="s">
        <v>769</v>
      </c>
      <c r="F97" t="s">
        <v>770</v>
      </c>
      <c r="G97" t="s">
        <v>486</v>
      </c>
      <c r="H97">
        <v>183</v>
      </c>
      <c r="I97">
        <v>83</v>
      </c>
    </row>
    <row r="98" spans="1:10" x14ac:dyDescent="0.3">
      <c r="A98">
        <v>97</v>
      </c>
      <c r="B98" t="s">
        <v>983</v>
      </c>
      <c r="C98" t="s">
        <v>984</v>
      </c>
      <c r="D98" t="s">
        <v>985</v>
      </c>
      <c r="E98" t="s">
        <v>769</v>
      </c>
      <c r="F98" t="s">
        <v>770</v>
      </c>
      <c r="G98" t="s">
        <v>486</v>
      </c>
      <c r="J98" s="2">
        <v>10563</v>
      </c>
    </row>
    <row r="99" spans="1:10" x14ac:dyDescent="0.3">
      <c r="A99">
        <v>98</v>
      </c>
      <c r="B99" t="s">
        <v>986</v>
      </c>
      <c r="C99" s="2">
        <v>24040</v>
      </c>
      <c r="D99" t="s">
        <v>987</v>
      </c>
      <c r="E99" t="s">
        <v>769</v>
      </c>
      <c r="F99" t="s">
        <v>770</v>
      </c>
      <c r="G99" t="s">
        <v>486</v>
      </c>
      <c r="H99">
        <v>183</v>
      </c>
      <c r="I99">
        <v>73</v>
      </c>
    </row>
    <row r="100" spans="1:10" x14ac:dyDescent="0.3">
      <c r="A100">
        <v>99</v>
      </c>
      <c r="B100" t="s">
        <v>988</v>
      </c>
      <c r="C100" s="2">
        <v>27278</v>
      </c>
      <c r="D100" t="s">
        <v>840</v>
      </c>
      <c r="E100" t="s">
        <v>769</v>
      </c>
      <c r="F100" t="s">
        <v>770</v>
      </c>
      <c r="G100" t="s">
        <v>486</v>
      </c>
      <c r="H100">
        <v>185</v>
      </c>
      <c r="I100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D99A-E555-4376-8CA8-47E84794F170}">
  <dimension ref="A1:L100"/>
  <sheetViews>
    <sheetView topLeftCell="A97" workbookViewId="0">
      <selection activeCell="L22" sqref="L22"/>
    </sheetView>
  </sheetViews>
  <sheetFormatPr baseColWidth="10" defaultRowHeight="14.4" x14ac:dyDescent="0.3"/>
  <sheetData>
    <row r="1" spans="1:12" x14ac:dyDescent="0.3">
      <c r="A1" t="s">
        <v>208</v>
      </c>
      <c r="B1" t="s">
        <v>1</v>
      </c>
      <c r="C1" t="s">
        <v>750</v>
      </c>
      <c r="D1" t="s">
        <v>751</v>
      </c>
      <c r="E1" t="s">
        <v>752</v>
      </c>
      <c r="F1" t="s">
        <v>753</v>
      </c>
      <c r="G1" t="s">
        <v>283</v>
      </c>
      <c r="H1" t="s">
        <v>754</v>
      </c>
      <c r="I1" t="s">
        <v>755</v>
      </c>
      <c r="J1" t="s">
        <v>756</v>
      </c>
      <c r="K1" t="s">
        <v>989</v>
      </c>
      <c r="L1" t="s">
        <v>990</v>
      </c>
    </row>
    <row r="2" spans="1:12" x14ac:dyDescent="0.3">
      <c r="A2">
        <v>1</v>
      </c>
      <c r="B2" t="s">
        <v>213</v>
      </c>
      <c r="C2" t="s">
        <v>757</v>
      </c>
      <c r="D2" t="s">
        <v>758</v>
      </c>
      <c r="E2" t="s">
        <v>759</v>
      </c>
      <c r="F2" t="s">
        <v>203</v>
      </c>
      <c r="G2" t="s">
        <v>202</v>
      </c>
      <c r="J2" s="2">
        <v>22191</v>
      </c>
      <c r="K2">
        <v>44.841225000000001</v>
      </c>
      <c r="L2">
        <v>-0.58003640000000001</v>
      </c>
    </row>
    <row r="3" spans="1:12" x14ac:dyDescent="0.3">
      <c r="A3">
        <v>2</v>
      </c>
      <c r="B3" t="s">
        <v>221</v>
      </c>
      <c r="C3" s="2">
        <v>25294</v>
      </c>
      <c r="D3" t="s">
        <v>760</v>
      </c>
      <c r="E3" t="s">
        <v>761</v>
      </c>
      <c r="F3" t="s">
        <v>203</v>
      </c>
      <c r="G3" t="s">
        <v>202</v>
      </c>
      <c r="H3">
        <v>183</v>
      </c>
      <c r="I3">
        <v>76</v>
      </c>
      <c r="K3">
        <v>49.0049712</v>
      </c>
      <c r="L3">
        <v>1.9100835</v>
      </c>
    </row>
    <row r="4" spans="1:12" x14ac:dyDescent="0.3">
      <c r="A4">
        <v>3</v>
      </c>
      <c r="B4" t="s">
        <v>223</v>
      </c>
      <c r="C4" t="s">
        <v>762</v>
      </c>
      <c r="D4" t="s">
        <v>763</v>
      </c>
      <c r="E4" t="s">
        <v>764</v>
      </c>
      <c r="F4" t="s">
        <v>203</v>
      </c>
      <c r="G4" t="s">
        <v>202</v>
      </c>
      <c r="H4">
        <v>183</v>
      </c>
      <c r="I4">
        <v>76</v>
      </c>
      <c r="J4" s="2">
        <v>34532</v>
      </c>
      <c r="K4" s="3" t="s">
        <v>991</v>
      </c>
      <c r="L4">
        <v>-1.5527265906663099</v>
      </c>
    </row>
    <row r="5" spans="1:12" x14ac:dyDescent="0.3">
      <c r="A5">
        <v>4</v>
      </c>
      <c r="B5" t="s">
        <v>220</v>
      </c>
      <c r="C5" t="s">
        <v>765</v>
      </c>
      <c r="D5" t="s">
        <v>766</v>
      </c>
      <c r="E5" t="s">
        <v>40</v>
      </c>
      <c r="F5" t="s">
        <v>203</v>
      </c>
      <c r="G5" t="s">
        <v>202</v>
      </c>
      <c r="H5">
        <v>168</v>
      </c>
      <c r="I5">
        <v>64</v>
      </c>
      <c r="J5" s="2">
        <v>28569</v>
      </c>
      <c r="K5">
        <v>48.877479899999997</v>
      </c>
      <c r="L5">
        <v>2.31765</v>
      </c>
    </row>
    <row r="6" spans="1:12" x14ac:dyDescent="0.3">
      <c r="A6">
        <v>5</v>
      </c>
      <c r="B6" t="s">
        <v>227</v>
      </c>
      <c r="C6" t="s">
        <v>767</v>
      </c>
      <c r="D6" t="s">
        <v>768</v>
      </c>
      <c r="E6" t="s">
        <v>769</v>
      </c>
      <c r="F6" t="s">
        <v>770</v>
      </c>
      <c r="G6" t="s">
        <v>202</v>
      </c>
      <c r="J6" s="2">
        <v>11164</v>
      </c>
      <c r="K6">
        <v>51.457027099999998</v>
      </c>
      <c r="L6">
        <v>-0.19326070000000001</v>
      </c>
    </row>
    <row r="7" spans="1:12" x14ac:dyDescent="0.3">
      <c r="A7">
        <v>6</v>
      </c>
      <c r="B7" t="s">
        <v>231</v>
      </c>
      <c r="C7" s="2">
        <v>25581</v>
      </c>
      <c r="D7" t="s">
        <v>771</v>
      </c>
      <c r="E7" t="s">
        <v>772</v>
      </c>
      <c r="F7" t="s">
        <v>203</v>
      </c>
      <c r="G7" t="s">
        <v>202</v>
      </c>
      <c r="H7">
        <v>181</v>
      </c>
      <c r="I7">
        <v>70</v>
      </c>
      <c r="K7">
        <v>49.894170799999998</v>
      </c>
      <c r="L7">
        <v>2.2956951000000001</v>
      </c>
    </row>
    <row r="8" spans="1:12" x14ac:dyDescent="0.3">
      <c r="A8">
        <v>7</v>
      </c>
      <c r="B8" t="s">
        <v>232</v>
      </c>
      <c r="C8" s="2">
        <v>25534</v>
      </c>
      <c r="D8" t="s">
        <v>773</v>
      </c>
      <c r="E8" t="s">
        <v>774</v>
      </c>
      <c r="F8" t="s">
        <v>203</v>
      </c>
      <c r="G8" t="s">
        <v>202</v>
      </c>
      <c r="H8">
        <v>180</v>
      </c>
      <c r="I8">
        <v>73</v>
      </c>
      <c r="K8">
        <v>48.653875399999997</v>
      </c>
      <c r="L8">
        <v>2.4151151</v>
      </c>
    </row>
    <row r="9" spans="1:12" x14ac:dyDescent="0.3">
      <c r="A9">
        <v>8</v>
      </c>
      <c r="B9" t="s">
        <v>226</v>
      </c>
      <c r="C9" s="2">
        <v>714</v>
      </c>
      <c r="D9" t="s">
        <v>775</v>
      </c>
      <c r="E9" t="s">
        <v>776</v>
      </c>
      <c r="F9" t="s">
        <v>203</v>
      </c>
      <c r="G9" t="s">
        <v>202</v>
      </c>
      <c r="J9" s="2">
        <v>31869</v>
      </c>
      <c r="K9">
        <v>45.773357300000001</v>
      </c>
      <c r="L9">
        <v>4.8868454000000003</v>
      </c>
    </row>
    <row r="10" spans="1:12" x14ac:dyDescent="0.3">
      <c r="A10">
        <v>9</v>
      </c>
      <c r="B10" t="s">
        <v>236</v>
      </c>
      <c r="C10" t="s">
        <v>777</v>
      </c>
      <c r="D10" t="s">
        <v>778</v>
      </c>
      <c r="E10" t="s">
        <v>779</v>
      </c>
      <c r="F10" t="s">
        <v>203</v>
      </c>
      <c r="G10" t="s">
        <v>202</v>
      </c>
      <c r="J10" s="2">
        <v>31625</v>
      </c>
      <c r="K10">
        <v>43.837424900000002</v>
      </c>
      <c r="L10">
        <v>4.3600687000000002</v>
      </c>
    </row>
    <row r="11" spans="1:12" x14ac:dyDescent="0.3">
      <c r="A11">
        <v>10</v>
      </c>
      <c r="B11" t="s">
        <v>237</v>
      </c>
      <c r="C11" t="s">
        <v>780</v>
      </c>
      <c r="D11" t="s">
        <v>781</v>
      </c>
      <c r="E11" t="s">
        <v>782</v>
      </c>
      <c r="F11" t="s">
        <v>203</v>
      </c>
      <c r="G11" t="s">
        <v>202</v>
      </c>
      <c r="J11" s="2">
        <v>8640</v>
      </c>
      <c r="K11">
        <v>46.758248700000003</v>
      </c>
      <c r="L11">
        <v>2.4024033999999999</v>
      </c>
    </row>
    <row r="12" spans="1:12" x14ac:dyDescent="0.3">
      <c r="A12">
        <v>11</v>
      </c>
      <c r="B12" t="s">
        <v>244</v>
      </c>
      <c r="C12" t="s">
        <v>783</v>
      </c>
      <c r="D12" t="s">
        <v>784</v>
      </c>
      <c r="E12" t="s">
        <v>761</v>
      </c>
      <c r="F12" t="s">
        <v>203</v>
      </c>
      <c r="G12" t="s">
        <v>202</v>
      </c>
      <c r="J12" s="2">
        <v>12011</v>
      </c>
      <c r="K12">
        <v>48.917499999999997</v>
      </c>
      <c r="L12">
        <v>1.9698199999999999</v>
      </c>
    </row>
    <row r="13" spans="1:12" x14ac:dyDescent="0.3">
      <c r="A13">
        <v>12</v>
      </c>
      <c r="B13" t="s">
        <v>248</v>
      </c>
      <c r="C13" t="s">
        <v>785</v>
      </c>
      <c r="D13" t="s">
        <v>786</v>
      </c>
      <c r="E13" t="s">
        <v>40</v>
      </c>
      <c r="F13" t="s">
        <v>203</v>
      </c>
      <c r="G13" t="s">
        <v>202</v>
      </c>
      <c r="J13" s="2">
        <v>28739</v>
      </c>
      <c r="K13">
        <v>48.8631709</v>
      </c>
      <c r="L13">
        <v>2.2757648000000001</v>
      </c>
    </row>
    <row r="14" spans="1:12" x14ac:dyDescent="0.3">
      <c r="A14">
        <v>13</v>
      </c>
      <c r="B14" t="s">
        <v>258</v>
      </c>
      <c r="G14" t="s">
        <v>202</v>
      </c>
      <c r="K14">
        <v>40.419484300000001</v>
      </c>
      <c r="L14">
        <v>-3.7076302000000001</v>
      </c>
    </row>
    <row r="15" spans="1:12" x14ac:dyDescent="0.3">
      <c r="A15">
        <v>14</v>
      </c>
      <c r="B15" t="s">
        <v>260</v>
      </c>
      <c r="G15" t="s">
        <v>202</v>
      </c>
      <c r="K15">
        <v>40.419484300000001</v>
      </c>
      <c r="L15">
        <v>-3.7076302000000001</v>
      </c>
    </row>
    <row r="16" spans="1:12" x14ac:dyDescent="0.3">
      <c r="A16">
        <v>15</v>
      </c>
      <c r="B16" t="s">
        <v>262</v>
      </c>
      <c r="C16" s="2">
        <v>25388</v>
      </c>
      <c r="D16" t="s">
        <v>787</v>
      </c>
      <c r="E16" t="s">
        <v>788</v>
      </c>
      <c r="F16" t="s">
        <v>203</v>
      </c>
      <c r="G16" t="s">
        <v>202</v>
      </c>
      <c r="H16">
        <v>165</v>
      </c>
      <c r="I16">
        <v>58</v>
      </c>
      <c r="K16">
        <v>48.8385198</v>
      </c>
      <c r="L16">
        <v>-0.88932929999999999</v>
      </c>
    </row>
    <row r="17" spans="1:12" x14ac:dyDescent="0.3">
      <c r="A17">
        <v>16</v>
      </c>
      <c r="B17" t="s">
        <v>261</v>
      </c>
      <c r="C17" t="s">
        <v>789</v>
      </c>
      <c r="D17" t="s">
        <v>766</v>
      </c>
      <c r="E17" t="s">
        <v>40</v>
      </c>
      <c r="F17" t="s">
        <v>203</v>
      </c>
      <c r="G17" t="s">
        <v>202</v>
      </c>
      <c r="J17" s="2">
        <v>23960</v>
      </c>
      <c r="K17">
        <v>48.877479899999997</v>
      </c>
      <c r="L17">
        <v>2.31765</v>
      </c>
    </row>
    <row r="18" spans="1:12" x14ac:dyDescent="0.3">
      <c r="A18">
        <v>17</v>
      </c>
      <c r="B18" t="s">
        <v>264</v>
      </c>
      <c r="C18" s="2">
        <v>23746</v>
      </c>
      <c r="D18" t="s">
        <v>790</v>
      </c>
      <c r="E18" t="s">
        <v>791</v>
      </c>
      <c r="F18" t="s">
        <v>792</v>
      </c>
      <c r="G18" t="s">
        <v>202</v>
      </c>
      <c r="H18">
        <v>189</v>
      </c>
      <c r="I18">
        <v>79</v>
      </c>
      <c r="K18">
        <v>33.594514400000001</v>
      </c>
      <c r="L18">
        <v>-7.6200283999999998</v>
      </c>
    </row>
    <row r="19" spans="1:12" x14ac:dyDescent="0.3">
      <c r="A19">
        <v>18</v>
      </c>
      <c r="B19" t="s">
        <v>234</v>
      </c>
      <c r="C19" s="2">
        <v>25127</v>
      </c>
      <c r="D19" t="s">
        <v>793</v>
      </c>
      <c r="E19" t="s">
        <v>779</v>
      </c>
      <c r="F19" t="s">
        <v>203</v>
      </c>
      <c r="G19" t="s">
        <v>202</v>
      </c>
      <c r="H19">
        <v>178</v>
      </c>
      <c r="I19">
        <v>73</v>
      </c>
      <c r="K19">
        <v>44.125366499999998</v>
      </c>
      <c r="L19">
        <v>4.0852817999999997</v>
      </c>
    </row>
    <row r="20" spans="1:12" x14ac:dyDescent="0.3">
      <c r="A20">
        <v>19</v>
      </c>
      <c r="B20" t="s">
        <v>254</v>
      </c>
      <c r="C20" t="s">
        <v>794</v>
      </c>
      <c r="D20" t="s">
        <v>795</v>
      </c>
      <c r="E20" t="s">
        <v>796</v>
      </c>
      <c r="F20" t="s">
        <v>203</v>
      </c>
      <c r="G20" t="s">
        <v>202</v>
      </c>
      <c r="J20" s="2">
        <v>21403</v>
      </c>
      <c r="K20">
        <v>46.1239268</v>
      </c>
      <c r="L20">
        <v>3.4203711999999999</v>
      </c>
    </row>
    <row r="21" spans="1:12" x14ac:dyDescent="0.3">
      <c r="A21">
        <v>20</v>
      </c>
      <c r="B21" t="s">
        <v>270</v>
      </c>
      <c r="C21" t="s">
        <v>797</v>
      </c>
      <c r="D21" t="s">
        <v>798</v>
      </c>
      <c r="E21" t="s">
        <v>40</v>
      </c>
      <c r="F21" t="s">
        <v>203</v>
      </c>
      <c r="G21" t="s">
        <v>202</v>
      </c>
      <c r="J21" s="2">
        <v>18968</v>
      </c>
      <c r="K21">
        <v>48.884223900000002</v>
      </c>
      <c r="L21">
        <v>2.3223639</v>
      </c>
    </row>
    <row r="22" spans="1:12" x14ac:dyDescent="0.3">
      <c r="A22">
        <v>21</v>
      </c>
      <c r="B22" t="s">
        <v>271</v>
      </c>
      <c r="C22" s="2">
        <v>313</v>
      </c>
      <c r="D22" t="s">
        <v>799</v>
      </c>
      <c r="E22" t="s">
        <v>40</v>
      </c>
      <c r="F22" t="s">
        <v>203</v>
      </c>
      <c r="G22" t="s">
        <v>202</v>
      </c>
      <c r="J22" s="2">
        <v>15450</v>
      </c>
    </row>
    <row r="23" spans="1:12" x14ac:dyDescent="0.3">
      <c r="A23">
        <v>22</v>
      </c>
      <c r="B23" t="s">
        <v>225</v>
      </c>
      <c r="C23" s="2">
        <v>1645</v>
      </c>
      <c r="D23" t="s">
        <v>800</v>
      </c>
      <c r="E23" t="s">
        <v>40</v>
      </c>
      <c r="F23" t="s">
        <v>203</v>
      </c>
      <c r="G23" t="s">
        <v>202</v>
      </c>
      <c r="J23" s="2">
        <v>35350</v>
      </c>
      <c r="K23">
        <v>48.876224999999998</v>
      </c>
      <c r="L23">
        <v>2.3595209000000001</v>
      </c>
    </row>
    <row r="24" spans="1:12" x14ac:dyDescent="0.3">
      <c r="A24">
        <v>23</v>
      </c>
      <c r="B24" t="s">
        <v>273</v>
      </c>
      <c r="C24" t="s">
        <v>801</v>
      </c>
      <c r="D24" t="s">
        <v>802</v>
      </c>
      <c r="E24" t="s">
        <v>759</v>
      </c>
      <c r="F24" t="s">
        <v>203</v>
      </c>
      <c r="G24" t="s">
        <v>202</v>
      </c>
      <c r="J24" s="2">
        <v>28941</v>
      </c>
      <c r="K24" s="3" t="s">
        <v>992</v>
      </c>
      <c r="L24">
        <v>-0.67511648386110501</v>
      </c>
    </row>
    <row r="25" spans="1:12" x14ac:dyDescent="0.3">
      <c r="A25">
        <v>24</v>
      </c>
      <c r="B25" t="s">
        <v>275</v>
      </c>
      <c r="C25" t="s">
        <v>803</v>
      </c>
      <c r="D25" t="s">
        <v>804</v>
      </c>
      <c r="E25" t="s">
        <v>40</v>
      </c>
      <c r="F25" t="s">
        <v>203</v>
      </c>
      <c r="G25" t="s">
        <v>202</v>
      </c>
      <c r="J25" s="2">
        <v>22006</v>
      </c>
      <c r="K25">
        <v>48.868743000000002</v>
      </c>
      <c r="L25">
        <v>2.341688</v>
      </c>
    </row>
    <row r="26" spans="1:12" x14ac:dyDescent="0.3">
      <c r="A26">
        <v>25</v>
      </c>
      <c r="B26" t="s">
        <v>276</v>
      </c>
      <c r="C26" t="s">
        <v>805</v>
      </c>
      <c r="D26" t="s">
        <v>806</v>
      </c>
      <c r="E26" t="s">
        <v>807</v>
      </c>
      <c r="F26" t="s">
        <v>203</v>
      </c>
      <c r="G26" t="s">
        <v>202</v>
      </c>
      <c r="J26" s="2">
        <v>14871</v>
      </c>
      <c r="K26">
        <v>48.884683000000003</v>
      </c>
      <c r="L26">
        <v>2.2695658000000001</v>
      </c>
    </row>
    <row r="27" spans="1:12" x14ac:dyDescent="0.3">
      <c r="A27">
        <v>26</v>
      </c>
      <c r="B27" t="s">
        <v>265</v>
      </c>
      <c r="C27" s="2">
        <v>23196</v>
      </c>
      <c r="D27" t="s">
        <v>808</v>
      </c>
      <c r="E27" t="s">
        <v>809</v>
      </c>
      <c r="F27" t="s">
        <v>203</v>
      </c>
      <c r="G27" t="s">
        <v>202</v>
      </c>
      <c r="H27">
        <v>184</v>
      </c>
      <c r="I27">
        <v>78</v>
      </c>
      <c r="K27">
        <v>50.560600000000001</v>
      </c>
      <c r="L27">
        <v>2.4760399999999998</v>
      </c>
    </row>
    <row r="28" spans="1:12" x14ac:dyDescent="0.3">
      <c r="A28">
        <v>27</v>
      </c>
      <c r="B28" t="s">
        <v>233</v>
      </c>
      <c r="C28" s="2">
        <v>26882</v>
      </c>
      <c r="D28" t="s">
        <v>810</v>
      </c>
      <c r="E28" t="s">
        <v>811</v>
      </c>
      <c r="F28" t="s">
        <v>203</v>
      </c>
      <c r="G28" t="s">
        <v>202</v>
      </c>
      <c r="H28">
        <v>177</v>
      </c>
      <c r="I28">
        <v>75</v>
      </c>
      <c r="K28">
        <v>47.510236800000001</v>
      </c>
      <c r="L28">
        <v>6.7977563999999999</v>
      </c>
    </row>
    <row r="29" spans="1:12" x14ac:dyDescent="0.3">
      <c r="A29">
        <v>28</v>
      </c>
      <c r="B29" t="s">
        <v>245</v>
      </c>
      <c r="G29" t="s">
        <v>202</v>
      </c>
      <c r="K29">
        <v>40.419484300000001</v>
      </c>
      <c r="L29">
        <v>-3.7076302000000001</v>
      </c>
    </row>
    <row r="30" spans="1:12" x14ac:dyDescent="0.3">
      <c r="A30">
        <v>29</v>
      </c>
      <c r="B30" t="s">
        <v>812</v>
      </c>
      <c r="G30" t="s">
        <v>202</v>
      </c>
      <c r="K30">
        <v>40.419484300000001</v>
      </c>
      <c r="L30">
        <v>-3.7076302000000001</v>
      </c>
    </row>
    <row r="31" spans="1:12" x14ac:dyDescent="0.3">
      <c r="A31">
        <v>30</v>
      </c>
      <c r="B31" t="s">
        <v>229</v>
      </c>
      <c r="C31" t="s">
        <v>813</v>
      </c>
      <c r="D31" t="s">
        <v>814</v>
      </c>
      <c r="E31" t="s">
        <v>40</v>
      </c>
      <c r="F31" t="s">
        <v>203</v>
      </c>
      <c r="G31" t="s">
        <v>202</v>
      </c>
      <c r="J31" s="2">
        <v>21938</v>
      </c>
      <c r="K31">
        <v>48.850433299999999</v>
      </c>
      <c r="L31">
        <v>2.3329507</v>
      </c>
    </row>
    <row r="32" spans="1:12" x14ac:dyDescent="0.3">
      <c r="A32">
        <v>31</v>
      </c>
      <c r="B32" t="s">
        <v>238</v>
      </c>
      <c r="C32" t="s">
        <v>815</v>
      </c>
      <c r="D32" t="s">
        <v>766</v>
      </c>
      <c r="E32" t="s">
        <v>40</v>
      </c>
      <c r="F32" t="s">
        <v>203</v>
      </c>
      <c r="G32" t="s">
        <v>202</v>
      </c>
      <c r="J32" s="2">
        <v>18954</v>
      </c>
      <c r="K32">
        <v>48.877479899999997</v>
      </c>
      <c r="L32">
        <v>2.31765</v>
      </c>
    </row>
    <row r="33" spans="1:12" x14ac:dyDescent="0.3">
      <c r="A33">
        <v>32</v>
      </c>
      <c r="B33" t="s">
        <v>222</v>
      </c>
      <c r="C33" s="2">
        <v>25613</v>
      </c>
      <c r="D33" t="s">
        <v>816</v>
      </c>
      <c r="E33" t="s">
        <v>779</v>
      </c>
      <c r="F33" t="s">
        <v>203</v>
      </c>
      <c r="G33" t="s">
        <v>202</v>
      </c>
      <c r="H33">
        <v>180</v>
      </c>
      <c r="I33">
        <v>77</v>
      </c>
      <c r="K33">
        <v>44.160480999999997</v>
      </c>
      <c r="L33">
        <v>4.6235831000000003</v>
      </c>
    </row>
    <row r="34" spans="1:12" x14ac:dyDescent="0.3">
      <c r="A34">
        <v>33</v>
      </c>
      <c r="B34" t="s">
        <v>817</v>
      </c>
      <c r="C34" s="2">
        <v>24898</v>
      </c>
      <c r="D34" t="s">
        <v>818</v>
      </c>
      <c r="E34" t="s">
        <v>819</v>
      </c>
      <c r="F34" t="s">
        <v>203</v>
      </c>
      <c r="G34" t="s">
        <v>202</v>
      </c>
      <c r="H34">
        <v>180</v>
      </c>
      <c r="I34">
        <v>72</v>
      </c>
      <c r="K34">
        <v>49.670681500000001</v>
      </c>
      <c r="L34">
        <v>-1.2644272000000001</v>
      </c>
    </row>
    <row r="35" spans="1:12" x14ac:dyDescent="0.3">
      <c r="A35">
        <v>34</v>
      </c>
      <c r="B35" t="s">
        <v>274</v>
      </c>
      <c r="C35" t="s">
        <v>820</v>
      </c>
      <c r="D35" t="s">
        <v>758</v>
      </c>
      <c r="E35" t="s">
        <v>759</v>
      </c>
      <c r="F35" t="s">
        <v>203</v>
      </c>
      <c r="G35" t="s">
        <v>202</v>
      </c>
      <c r="J35" s="2">
        <v>23845</v>
      </c>
      <c r="K35">
        <v>44.841225000000001</v>
      </c>
      <c r="L35">
        <v>-0.58003640000000001</v>
      </c>
    </row>
    <row r="36" spans="1:12" x14ac:dyDescent="0.3">
      <c r="A36">
        <v>35</v>
      </c>
      <c r="B36" t="s">
        <v>821</v>
      </c>
      <c r="C36" s="2">
        <v>26642</v>
      </c>
      <c r="D36" t="s">
        <v>822</v>
      </c>
      <c r="E36" t="s">
        <v>823</v>
      </c>
      <c r="F36" t="s">
        <v>824</v>
      </c>
      <c r="G36" t="s">
        <v>202</v>
      </c>
      <c r="H36">
        <v>177</v>
      </c>
      <c r="I36">
        <v>68</v>
      </c>
      <c r="K36">
        <v>-17.687343949999999</v>
      </c>
      <c r="L36">
        <v>-149.44516811423699</v>
      </c>
    </row>
    <row r="37" spans="1:12" x14ac:dyDescent="0.3">
      <c r="A37">
        <v>36</v>
      </c>
      <c r="B37" t="s">
        <v>825</v>
      </c>
      <c r="C37" s="2">
        <v>24735</v>
      </c>
      <c r="D37" t="s">
        <v>771</v>
      </c>
      <c r="E37" t="s">
        <v>772</v>
      </c>
      <c r="F37" t="s">
        <v>203</v>
      </c>
      <c r="G37" t="s">
        <v>202</v>
      </c>
      <c r="H37">
        <v>186</v>
      </c>
      <c r="I37">
        <v>78</v>
      </c>
      <c r="K37">
        <v>49.894170799999998</v>
      </c>
      <c r="L37">
        <v>2.2956951000000001</v>
      </c>
    </row>
    <row r="38" spans="1:12" x14ac:dyDescent="0.3">
      <c r="A38">
        <v>37</v>
      </c>
      <c r="B38" t="s">
        <v>826</v>
      </c>
      <c r="C38" t="s">
        <v>827</v>
      </c>
      <c r="D38" t="s">
        <v>828</v>
      </c>
      <c r="E38" t="s">
        <v>829</v>
      </c>
      <c r="F38" t="s">
        <v>203</v>
      </c>
      <c r="G38" t="s">
        <v>202</v>
      </c>
      <c r="J38" s="2">
        <v>22115</v>
      </c>
      <c r="K38">
        <v>49.288904600000002</v>
      </c>
      <c r="L38">
        <v>1.8342004000000001</v>
      </c>
    </row>
    <row r="39" spans="1:12" x14ac:dyDescent="0.3">
      <c r="A39">
        <v>38</v>
      </c>
      <c r="B39" t="s">
        <v>830</v>
      </c>
      <c r="C39" t="s">
        <v>831</v>
      </c>
      <c r="D39" t="s">
        <v>832</v>
      </c>
      <c r="E39" t="s">
        <v>769</v>
      </c>
      <c r="F39" t="s">
        <v>770</v>
      </c>
      <c r="G39" t="s">
        <v>486</v>
      </c>
      <c r="J39" s="2">
        <v>17313</v>
      </c>
      <c r="K39">
        <v>54.905851200000001</v>
      </c>
      <c r="L39">
        <v>-1.3828727000000001</v>
      </c>
    </row>
    <row r="40" spans="1:12" x14ac:dyDescent="0.3">
      <c r="A40">
        <v>39</v>
      </c>
      <c r="B40" t="s">
        <v>833</v>
      </c>
      <c r="C40" t="s">
        <v>834</v>
      </c>
      <c r="D40" t="s">
        <v>835</v>
      </c>
      <c r="E40" t="s">
        <v>769</v>
      </c>
      <c r="F40" t="s">
        <v>770</v>
      </c>
      <c r="G40" t="s">
        <v>486</v>
      </c>
      <c r="J40" s="2">
        <v>26429</v>
      </c>
      <c r="K40">
        <v>51.549523600000001</v>
      </c>
      <c r="L40">
        <v>2.49248E-2</v>
      </c>
    </row>
    <row r="41" spans="1:12" x14ac:dyDescent="0.3">
      <c r="A41">
        <v>40</v>
      </c>
      <c r="B41" t="s">
        <v>836</v>
      </c>
      <c r="C41" t="s">
        <v>837</v>
      </c>
      <c r="D41" t="s">
        <v>838</v>
      </c>
      <c r="E41" t="s">
        <v>769</v>
      </c>
      <c r="F41" t="s">
        <v>770</v>
      </c>
      <c r="G41" t="s">
        <v>486</v>
      </c>
      <c r="J41" s="2">
        <v>25621</v>
      </c>
      <c r="K41">
        <v>51.5973246</v>
      </c>
      <c r="L41">
        <v>-0.18055869999999999</v>
      </c>
    </row>
    <row r="42" spans="1:12" x14ac:dyDescent="0.3">
      <c r="A42">
        <v>41</v>
      </c>
      <c r="B42" t="s">
        <v>839</v>
      </c>
      <c r="C42" s="2">
        <v>24515</v>
      </c>
      <c r="D42" t="s">
        <v>840</v>
      </c>
      <c r="E42" t="s">
        <v>769</v>
      </c>
      <c r="F42" t="s">
        <v>770</v>
      </c>
      <c r="G42" t="s">
        <v>486</v>
      </c>
      <c r="H42">
        <v>175</v>
      </c>
      <c r="I42">
        <v>64</v>
      </c>
      <c r="K42">
        <v>51.752013099999999</v>
      </c>
      <c r="L42">
        <v>-1.2578499000000001</v>
      </c>
    </row>
    <row r="43" spans="1:12" x14ac:dyDescent="0.3">
      <c r="A43">
        <v>42</v>
      </c>
      <c r="B43" t="s">
        <v>841</v>
      </c>
      <c r="C43" s="2">
        <v>22526</v>
      </c>
      <c r="D43" t="s">
        <v>842</v>
      </c>
      <c r="E43" t="s">
        <v>842</v>
      </c>
      <c r="F43" t="s">
        <v>843</v>
      </c>
      <c r="G43" t="s">
        <v>486</v>
      </c>
      <c r="H43">
        <v>176</v>
      </c>
      <c r="I43">
        <v>68</v>
      </c>
      <c r="K43">
        <v>30.665832999999999</v>
      </c>
      <c r="L43">
        <v>33.722777899999997</v>
      </c>
    </row>
    <row r="44" spans="1:12" x14ac:dyDescent="0.3">
      <c r="A44">
        <v>43</v>
      </c>
      <c r="B44" t="s">
        <v>844</v>
      </c>
      <c r="C44" t="s">
        <v>845</v>
      </c>
      <c r="D44" t="s">
        <v>846</v>
      </c>
      <c r="E44" t="s">
        <v>769</v>
      </c>
      <c r="F44" t="s">
        <v>770</v>
      </c>
      <c r="G44" t="s">
        <v>486</v>
      </c>
      <c r="J44" s="2">
        <v>13570</v>
      </c>
      <c r="K44">
        <v>51.096545900000002</v>
      </c>
      <c r="L44">
        <v>0.5321089</v>
      </c>
    </row>
    <row r="45" spans="1:12" x14ac:dyDescent="0.3">
      <c r="A45">
        <v>44</v>
      </c>
      <c r="B45" t="s">
        <v>847</v>
      </c>
      <c r="C45" s="2">
        <v>959</v>
      </c>
      <c r="D45" t="s">
        <v>768</v>
      </c>
      <c r="E45" t="s">
        <v>769</v>
      </c>
      <c r="F45" t="s">
        <v>770</v>
      </c>
      <c r="G45" t="s">
        <v>486</v>
      </c>
      <c r="J45" s="2">
        <v>11266</v>
      </c>
      <c r="K45">
        <v>51.457027099999998</v>
      </c>
      <c r="L45">
        <v>-0.19326070000000001</v>
      </c>
    </row>
    <row r="46" spans="1:12" x14ac:dyDescent="0.3">
      <c r="A46">
        <v>45</v>
      </c>
      <c r="B46" t="s">
        <v>247</v>
      </c>
      <c r="C46" t="s">
        <v>848</v>
      </c>
      <c r="D46" t="s">
        <v>849</v>
      </c>
      <c r="E46" t="s">
        <v>769</v>
      </c>
      <c r="F46" t="s">
        <v>770</v>
      </c>
      <c r="G46" t="s">
        <v>486</v>
      </c>
      <c r="J46" s="2">
        <v>24390</v>
      </c>
      <c r="K46">
        <v>51.512655299999999</v>
      </c>
      <c r="L46">
        <v>-0.3051952</v>
      </c>
    </row>
    <row r="47" spans="1:12" x14ac:dyDescent="0.3">
      <c r="A47">
        <v>46</v>
      </c>
      <c r="B47" t="s">
        <v>850</v>
      </c>
      <c r="C47" t="s">
        <v>851</v>
      </c>
      <c r="D47" t="s">
        <v>852</v>
      </c>
      <c r="E47" t="s">
        <v>769</v>
      </c>
      <c r="F47" t="s">
        <v>770</v>
      </c>
      <c r="G47" t="s">
        <v>486</v>
      </c>
      <c r="J47" s="2">
        <v>30252</v>
      </c>
      <c r="K47">
        <v>51.515479499999998</v>
      </c>
      <c r="L47">
        <v>-0.17536499999999999</v>
      </c>
    </row>
    <row r="48" spans="1:12" x14ac:dyDescent="0.3">
      <c r="A48">
        <v>47</v>
      </c>
      <c r="B48" t="s">
        <v>853</v>
      </c>
      <c r="C48" t="s">
        <v>854</v>
      </c>
      <c r="D48" t="s">
        <v>855</v>
      </c>
      <c r="E48" t="s">
        <v>769</v>
      </c>
      <c r="F48" t="s">
        <v>770</v>
      </c>
      <c r="G48" t="s">
        <v>486</v>
      </c>
      <c r="J48" s="2">
        <v>15237</v>
      </c>
      <c r="K48">
        <v>51.462429200000003</v>
      </c>
      <c r="L48">
        <v>-1.0178700000000001E-2</v>
      </c>
    </row>
    <row r="49" spans="1:12" x14ac:dyDescent="0.3">
      <c r="A49">
        <v>48</v>
      </c>
      <c r="B49" t="s">
        <v>856</v>
      </c>
      <c r="C49" s="2">
        <v>23510</v>
      </c>
      <c r="D49" t="s">
        <v>857</v>
      </c>
      <c r="E49" t="s">
        <v>769</v>
      </c>
      <c r="F49" t="s">
        <v>770</v>
      </c>
      <c r="G49" t="s">
        <v>486</v>
      </c>
      <c r="H49">
        <v>190</v>
      </c>
      <c r="I49">
        <v>85</v>
      </c>
      <c r="K49">
        <v>50.465239199999999</v>
      </c>
      <c r="L49">
        <v>-3.5211361000000001</v>
      </c>
    </row>
    <row r="50" spans="1:12" x14ac:dyDescent="0.3">
      <c r="A50">
        <v>49</v>
      </c>
      <c r="B50" t="s">
        <v>858</v>
      </c>
      <c r="C50" s="2">
        <v>23011</v>
      </c>
      <c r="D50" t="s">
        <v>859</v>
      </c>
      <c r="E50" t="s">
        <v>769</v>
      </c>
      <c r="F50" t="s">
        <v>770</v>
      </c>
      <c r="G50" t="s">
        <v>486</v>
      </c>
      <c r="H50">
        <v>175</v>
      </c>
      <c r="I50">
        <v>68</v>
      </c>
      <c r="K50">
        <v>51.456424200000001</v>
      </c>
      <c r="L50">
        <v>-0.9700664</v>
      </c>
    </row>
    <row r="51" spans="1:12" x14ac:dyDescent="0.3">
      <c r="A51">
        <v>50</v>
      </c>
      <c r="B51" t="s">
        <v>860</v>
      </c>
      <c r="C51" s="2">
        <v>23476</v>
      </c>
      <c r="G51" t="s">
        <v>486</v>
      </c>
      <c r="H51">
        <v>157</v>
      </c>
      <c r="I51">
        <v>55</v>
      </c>
      <c r="K51">
        <v>40.419484300000001</v>
      </c>
      <c r="L51">
        <v>-3.7076302000000001</v>
      </c>
    </row>
    <row r="52" spans="1:12" x14ac:dyDescent="0.3">
      <c r="A52">
        <v>51</v>
      </c>
      <c r="B52" t="s">
        <v>861</v>
      </c>
      <c r="C52" t="s">
        <v>862</v>
      </c>
      <c r="D52" t="s">
        <v>863</v>
      </c>
      <c r="E52" t="s">
        <v>769</v>
      </c>
      <c r="F52" t="s">
        <v>770</v>
      </c>
      <c r="G52" t="s">
        <v>486</v>
      </c>
      <c r="J52" s="2">
        <v>20754</v>
      </c>
      <c r="K52">
        <v>52.590719399999998</v>
      </c>
      <c r="L52">
        <v>-0.36727579999999999</v>
      </c>
    </row>
    <row r="53" spans="1:12" x14ac:dyDescent="0.3">
      <c r="A53">
        <v>52</v>
      </c>
      <c r="B53" t="s">
        <v>864</v>
      </c>
      <c r="C53" t="s">
        <v>865</v>
      </c>
      <c r="D53" t="s">
        <v>866</v>
      </c>
      <c r="E53" t="s">
        <v>769</v>
      </c>
      <c r="F53" t="s">
        <v>770</v>
      </c>
      <c r="G53" t="s">
        <v>486</v>
      </c>
      <c r="J53" s="2">
        <v>18644</v>
      </c>
      <c r="K53">
        <v>51.453802199999998</v>
      </c>
      <c r="L53">
        <v>-2.5972985</v>
      </c>
    </row>
    <row r="54" spans="1:12" x14ac:dyDescent="0.3">
      <c r="A54">
        <v>53</v>
      </c>
      <c r="B54" t="s">
        <v>867</v>
      </c>
      <c r="C54" t="s">
        <v>868</v>
      </c>
      <c r="D54" t="s">
        <v>869</v>
      </c>
      <c r="E54" t="s">
        <v>769</v>
      </c>
      <c r="F54" t="s">
        <v>770</v>
      </c>
      <c r="G54" t="s">
        <v>486</v>
      </c>
      <c r="J54" s="2">
        <v>25004</v>
      </c>
      <c r="K54">
        <v>51.541882000000001</v>
      </c>
      <c r="L54">
        <v>-0.1979358</v>
      </c>
    </row>
    <row r="55" spans="1:12" x14ac:dyDescent="0.3">
      <c r="A55">
        <v>54</v>
      </c>
      <c r="B55" t="s">
        <v>870</v>
      </c>
      <c r="C55" s="2">
        <v>25883</v>
      </c>
      <c r="D55" t="s">
        <v>871</v>
      </c>
      <c r="E55" t="s">
        <v>769</v>
      </c>
      <c r="F55" t="s">
        <v>770</v>
      </c>
      <c r="G55" t="s">
        <v>486</v>
      </c>
      <c r="H55">
        <v>168</v>
      </c>
      <c r="I55">
        <v>64</v>
      </c>
      <c r="K55">
        <v>53.559338199999999</v>
      </c>
      <c r="L55">
        <v>-2.3261546000000002</v>
      </c>
    </row>
    <row r="56" spans="1:12" x14ac:dyDescent="0.3">
      <c r="A56">
        <v>55</v>
      </c>
      <c r="B56" t="s">
        <v>872</v>
      </c>
      <c r="C56" s="2">
        <v>24675</v>
      </c>
      <c r="D56" t="s">
        <v>873</v>
      </c>
      <c r="E56" t="s">
        <v>874</v>
      </c>
      <c r="F56" t="s">
        <v>60</v>
      </c>
      <c r="G56" t="s">
        <v>486</v>
      </c>
      <c r="H56">
        <v>177</v>
      </c>
      <c r="I56">
        <v>64</v>
      </c>
      <c r="K56">
        <v>37.578096500000001</v>
      </c>
      <c r="L56">
        <v>-122.3473099</v>
      </c>
    </row>
    <row r="57" spans="1:12" x14ac:dyDescent="0.3">
      <c r="A57">
        <v>56</v>
      </c>
      <c r="B57" t="s">
        <v>875</v>
      </c>
      <c r="C57" s="2">
        <v>25122</v>
      </c>
      <c r="D57" t="s">
        <v>857</v>
      </c>
      <c r="E57" t="s">
        <v>769</v>
      </c>
      <c r="F57" t="s">
        <v>770</v>
      </c>
      <c r="G57" t="s">
        <v>486</v>
      </c>
      <c r="H57">
        <v>173</v>
      </c>
      <c r="I57">
        <v>61</v>
      </c>
      <c r="K57">
        <v>50.465239199999999</v>
      </c>
      <c r="L57">
        <v>-3.5211361000000001</v>
      </c>
    </row>
    <row r="58" spans="1:12" x14ac:dyDescent="0.3">
      <c r="A58">
        <v>57</v>
      </c>
      <c r="B58" t="s">
        <v>876</v>
      </c>
      <c r="C58" t="s">
        <v>877</v>
      </c>
      <c r="D58" t="s">
        <v>849</v>
      </c>
      <c r="E58" t="s">
        <v>769</v>
      </c>
      <c r="F58" t="s">
        <v>770</v>
      </c>
      <c r="G58" t="s">
        <v>486</v>
      </c>
      <c r="J58" s="2">
        <v>21922</v>
      </c>
      <c r="K58">
        <v>51.512655299999999</v>
      </c>
      <c r="L58">
        <v>-0.3051952</v>
      </c>
    </row>
    <row r="59" spans="1:12" x14ac:dyDescent="0.3">
      <c r="A59">
        <v>58</v>
      </c>
      <c r="B59" t="s">
        <v>878</v>
      </c>
      <c r="C59" s="2">
        <v>24540</v>
      </c>
      <c r="D59" t="s">
        <v>879</v>
      </c>
      <c r="E59" t="s">
        <v>769</v>
      </c>
      <c r="F59" t="s">
        <v>770</v>
      </c>
      <c r="G59" t="s">
        <v>486</v>
      </c>
      <c r="H59">
        <v>168</v>
      </c>
      <c r="I59">
        <v>63</v>
      </c>
      <c r="K59">
        <v>51.886131599999999</v>
      </c>
      <c r="L59">
        <v>-0.52093409999999996</v>
      </c>
    </row>
    <row r="60" spans="1:12" x14ac:dyDescent="0.3">
      <c r="A60">
        <v>59</v>
      </c>
      <c r="B60" t="s">
        <v>880</v>
      </c>
      <c r="C60" t="s">
        <v>881</v>
      </c>
      <c r="D60" t="s">
        <v>882</v>
      </c>
      <c r="E60" t="s">
        <v>769</v>
      </c>
      <c r="F60" t="s">
        <v>770</v>
      </c>
      <c r="G60" t="s">
        <v>486</v>
      </c>
      <c r="J60" s="2">
        <v>33774</v>
      </c>
      <c r="K60">
        <v>51.512276399999998</v>
      </c>
      <c r="L60">
        <v>-0.18838540000000001</v>
      </c>
    </row>
    <row r="61" spans="1:12" x14ac:dyDescent="0.3">
      <c r="A61">
        <v>60</v>
      </c>
      <c r="B61" t="s">
        <v>883</v>
      </c>
      <c r="C61" t="s">
        <v>884</v>
      </c>
      <c r="D61" t="s">
        <v>885</v>
      </c>
      <c r="E61" t="s">
        <v>769</v>
      </c>
      <c r="F61" t="s">
        <v>770</v>
      </c>
      <c r="G61" t="s">
        <v>486</v>
      </c>
      <c r="J61" s="2">
        <v>19811</v>
      </c>
      <c r="K61" s="3" t="s">
        <v>993</v>
      </c>
      <c r="L61">
        <v>-0.78996590472512096</v>
      </c>
    </row>
    <row r="62" spans="1:12" x14ac:dyDescent="0.3">
      <c r="A62">
        <v>61</v>
      </c>
      <c r="B62" t="s">
        <v>886</v>
      </c>
      <c r="C62" s="2">
        <v>27536</v>
      </c>
      <c r="D62" t="s">
        <v>887</v>
      </c>
      <c r="E62" t="s">
        <v>888</v>
      </c>
      <c r="F62" t="s">
        <v>770</v>
      </c>
      <c r="G62" t="s">
        <v>486</v>
      </c>
      <c r="H62">
        <v>178</v>
      </c>
      <c r="I62">
        <v>65</v>
      </c>
      <c r="K62">
        <v>51.600104700000003</v>
      </c>
      <c r="L62">
        <v>-3.3449361999999998</v>
      </c>
    </row>
    <row r="63" spans="1:12" x14ac:dyDescent="0.3">
      <c r="A63">
        <v>62</v>
      </c>
      <c r="B63" t="s">
        <v>889</v>
      </c>
      <c r="C63" t="s">
        <v>890</v>
      </c>
      <c r="D63" t="s">
        <v>891</v>
      </c>
      <c r="E63" t="s">
        <v>769</v>
      </c>
      <c r="F63" t="s">
        <v>770</v>
      </c>
      <c r="G63" t="s">
        <v>486</v>
      </c>
      <c r="J63" s="2">
        <v>19089</v>
      </c>
      <c r="K63">
        <v>51.945300500000002</v>
      </c>
      <c r="L63" s="3" t="s">
        <v>994</v>
      </c>
    </row>
    <row r="64" spans="1:12" x14ac:dyDescent="0.3">
      <c r="A64">
        <v>63</v>
      </c>
      <c r="B64" t="s">
        <v>892</v>
      </c>
      <c r="C64" s="2">
        <v>25296</v>
      </c>
      <c r="D64" t="s">
        <v>27</v>
      </c>
      <c r="E64" t="s">
        <v>769</v>
      </c>
      <c r="F64" t="s">
        <v>770</v>
      </c>
      <c r="G64" t="s">
        <v>486</v>
      </c>
      <c r="H64">
        <v>157</v>
      </c>
      <c r="I64">
        <v>59</v>
      </c>
      <c r="K64">
        <v>51.507445599999997</v>
      </c>
      <c r="L64">
        <v>-0.1277653</v>
      </c>
    </row>
    <row r="65" spans="1:12" x14ac:dyDescent="0.3">
      <c r="A65">
        <v>64</v>
      </c>
      <c r="B65" t="s">
        <v>893</v>
      </c>
      <c r="C65" t="s">
        <v>894</v>
      </c>
      <c r="D65" t="s">
        <v>27</v>
      </c>
      <c r="E65" t="s">
        <v>769</v>
      </c>
      <c r="F65" t="s">
        <v>770</v>
      </c>
      <c r="G65" t="s">
        <v>486</v>
      </c>
      <c r="J65" s="2">
        <v>22870</v>
      </c>
      <c r="K65">
        <v>51.507445599999997</v>
      </c>
      <c r="L65">
        <v>-0.1277653</v>
      </c>
    </row>
    <row r="66" spans="1:12" x14ac:dyDescent="0.3">
      <c r="A66">
        <v>65</v>
      </c>
      <c r="B66" t="s">
        <v>895</v>
      </c>
      <c r="C66" t="s">
        <v>896</v>
      </c>
      <c r="D66" t="s">
        <v>897</v>
      </c>
      <c r="E66" t="s">
        <v>769</v>
      </c>
      <c r="F66" t="s">
        <v>770</v>
      </c>
      <c r="G66" t="s">
        <v>486</v>
      </c>
      <c r="J66" s="2">
        <v>20161</v>
      </c>
      <c r="K66">
        <v>51.045649699999998</v>
      </c>
      <c r="L66">
        <v>-1.7395465000000001</v>
      </c>
    </row>
    <row r="67" spans="1:12" x14ac:dyDescent="0.3">
      <c r="A67">
        <v>66</v>
      </c>
      <c r="B67" t="s">
        <v>898</v>
      </c>
      <c r="C67" s="2">
        <v>24744</v>
      </c>
      <c r="D67" t="s">
        <v>899</v>
      </c>
      <c r="E67" t="s">
        <v>769</v>
      </c>
      <c r="F67" t="s">
        <v>770</v>
      </c>
      <c r="G67" t="s">
        <v>486</v>
      </c>
      <c r="H67">
        <v>170</v>
      </c>
      <c r="I67">
        <v>68</v>
      </c>
      <c r="K67">
        <v>53.647598799999997</v>
      </c>
      <c r="L67">
        <v>-3.0041750999999999</v>
      </c>
    </row>
    <row r="68" spans="1:12" x14ac:dyDescent="0.3">
      <c r="A68">
        <v>67</v>
      </c>
      <c r="B68" t="s">
        <v>900</v>
      </c>
      <c r="C68" t="s">
        <v>901</v>
      </c>
      <c r="D68" t="s">
        <v>902</v>
      </c>
      <c r="E68" t="s">
        <v>769</v>
      </c>
      <c r="F68" t="s">
        <v>770</v>
      </c>
      <c r="G68" t="s">
        <v>486</v>
      </c>
      <c r="J68" s="2">
        <v>22666</v>
      </c>
      <c r="K68">
        <v>51.498994799999998</v>
      </c>
      <c r="L68">
        <v>-0.19912289999999999</v>
      </c>
    </row>
    <row r="69" spans="1:12" x14ac:dyDescent="0.3">
      <c r="A69">
        <v>68</v>
      </c>
      <c r="B69" t="s">
        <v>903</v>
      </c>
      <c r="C69" t="s">
        <v>904</v>
      </c>
      <c r="D69" t="s">
        <v>905</v>
      </c>
      <c r="E69" t="s">
        <v>769</v>
      </c>
      <c r="F69" t="s">
        <v>770</v>
      </c>
      <c r="G69" t="s">
        <v>486</v>
      </c>
      <c r="J69" s="2">
        <v>19410</v>
      </c>
      <c r="K69" s="3" t="s">
        <v>995</v>
      </c>
      <c r="L69" s="3" t="s">
        <v>996</v>
      </c>
    </row>
    <row r="70" spans="1:12" x14ac:dyDescent="0.3">
      <c r="A70">
        <v>69</v>
      </c>
      <c r="B70" t="s">
        <v>906</v>
      </c>
      <c r="C70" s="2">
        <v>26264</v>
      </c>
      <c r="D70" t="s">
        <v>907</v>
      </c>
      <c r="E70" t="s">
        <v>769</v>
      </c>
      <c r="F70" t="s">
        <v>770</v>
      </c>
      <c r="G70" t="s">
        <v>486</v>
      </c>
      <c r="H70">
        <v>175</v>
      </c>
      <c r="I70">
        <v>62</v>
      </c>
      <c r="K70">
        <v>51.698268900000002</v>
      </c>
      <c r="L70">
        <v>0.1102918</v>
      </c>
    </row>
    <row r="71" spans="1:12" x14ac:dyDescent="0.3">
      <c r="A71">
        <v>70</v>
      </c>
      <c r="B71" t="s">
        <v>908</v>
      </c>
      <c r="C71" s="2">
        <v>23688</v>
      </c>
      <c r="D71" t="s">
        <v>909</v>
      </c>
      <c r="E71" t="s">
        <v>769</v>
      </c>
      <c r="F71" t="s">
        <v>770</v>
      </c>
      <c r="G71" t="s">
        <v>486</v>
      </c>
      <c r="H71">
        <v>172</v>
      </c>
      <c r="I71">
        <v>63</v>
      </c>
      <c r="K71">
        <v>50.902534899999999</v>
      </c>
      <c r="L71">
        <v>-1.4041889999999999</v>
      </c>
    </row>
    <row r="72" spans="1:12" x14ac:dyDescent="0.3">
      <c r="A72">
        <v>71</v>
      </c>
      <c r="B72" t="s">
        <v>910</v>
      </c>
      <c r="C72" t="s">
        <v>911</v>
      </c>
      <c r="D72" t="s">
        <v>912</v>
      </c>
      <c r="E72" t="s">
        <v>769</v>
      </c>
      <c r="F72" t="s">
        <v>770</v>
      </c>
      <c r="G72" t="s">
        <v>486</v>
      </c>
      <c r="J72" s="2">
        <v>19002</v>
      </c>
      <c r="K72">
        <v>50.729986500000003</v>
      </c>
      <c r="L72">
        <v>-1.1603699000000001</v>
      </c>
    </row>
    <row r="73" spans="1:12" x14ac:dyDescent="0.3">
      <c r="A73">
        <v>72</v>
      </c>
      <c r="B73" t="s">
        <v>913</v>
      </c>
      <c r="C73" s="2">
        <v>24905</v>
      </c>
      <c r="D73" t="s">
        <v>914</v>
      </c>
      <c r="E73" t="s">
        <v>915</v>
      </c>
      <c r="F73" t="s">
        <v>916</v>
      </c>
      <c r="G73" t="s">
        <v>486</v>
      </c>
      <c r="H73">
        <v>175</v>
      </c>
      <c r="I73">
        <v>65</v>
      </c>
      <c r="K73">
        <v>-27.897909899999998</v>
      </c>
      <c r="L73" s="3" t="s">
        <v>997</v>
      </c>
    </row>
    <row r="74" spans="1:12" x14ac:dyDescent="0.3">
      <c r="A74">
        <v>73</v>
      </c>
      <c r="B74" t="s">
        <v>917</v>
      </c>
      <c r="C74" s="2">
        <v>26620</v>
      </c>
      <c r="D74" t="s">
        <v>918</v>
      </c>
      <c r="E74" t="s">
        <v>769</v>
      </c>
      <c r="F74" t="s">
        <v>770</v>
      </c>
      <c r="G74" t="s">
        <v>486</v>
      </c>
      <c r="H74">
        <v>171</v>
      </c>
      <c r="I74">
        <v>68</v>
      </c>
      <c r="K74">
        <v>51.767619400000001</v>
      </c>
      <c r="L74">
        <v>9.7489300000000001E-2</v>
      </c>
    </row>
    <row r="75" spans="1:12" x14ac:dyDescent="0.3">
      <c r="A75">
        <v>74</v>
      </c>
      <c r="B75" t="s">
        <v>919</v>
      </c>
      <c r="C75" s="2">
        <v>22736</v>
      </c>
      <c r="D75" t="s">
        <v>920</v>
      </c>
      <c r="E75" t="s">
        <v>769</v>
      </c>
      <c r="F75" t="s">
        <v>770</v>
      </c>
      <c r="G75" t="s">
        <v>486</v>
      </c>
      <c r="H75">
        <v>185</v>
      </c>
      <c r="I75">
        <v>78</v>
      </c>
      <c r="K75">
        <v>51.5300157</v>
      </c>
      <c r="L75" s="3" t="s">
        <v>998</v>
      </c>
    </row>
    <row r="76" spans="1:12" x14ac:dyDescent="0.3">
      <c r="A76">
        <v>75</v>
      </c>
      <c r="B76" t="s">
        <v>921</v>
      </c>
      <c r="C76" s="2">
        <v>26842</v>
      </c>
      <c r="D76" t="s">
        <v>922</v>
      </c>
      <c r="E76" t="s">
        <v>769</v>
      </c>
      <c r="F76" t="s">
        <v>770</v>
      </c>
      <c r="G76" t="s">
        <v>486</v>
      </c>
      <c r="H76">
        <v>189</v>
      </c>
      <c r="I76">
        <v>86</v>
      </c>
      <c r="K76">
        <v>52.291339399999998</v>
      </c>
      <c r="L76">
        <v>-1.5364040000000001</v>
      </c>
    </row>
    <row r="77" spans="1:12" x14ac:dyDescent="0.3">
      <c r="A77">
        <v>76</v>
      </c>
      <c r="B77" t="s">
        <v>923</v>
      </c>
      <c r="C77" t="s">
        <v>924</v>
      </c>
      <c r="D77" t="s">
        <v>863</v>
      </c>
      <c r="E77" t="s">
        <v>769</v>
      </c>
      <c r="F77" t="s">
        <v>770</v>
      </c>
      <c r="G77" t="s">
        <v>486</v>
      </c>
      <c r="J77" s="2">
        <v>15914</v>
      </c>
      <c r="K77">
        <v>52.590719399999998</v>
      </c>
      <c r="L77">
        <v>-0.36727579999999999</v>
      </c>
    </row>
    <row r="78" spans="1:12" x14ac:dyDescent="0.3">
      <c r="A78">
        <v>77</v>
      </c>
      <c r="B78" t="s">
        <v>925</v>
      </c>
      <c r="C78" s="2">
        <v>22816</v>
      </c>
      <c r="D78" t="s">
        <v>926</v>
      </c>
      <c r="E78" t="s">
        <v>769</v>
      </c>
      <c r="F78" t="s">
        <v>770</v>
      </c>
      <c r="G78" t="s">
        <v>486</v>
      </c>
      <c r="H78">
        <v>180</v>
      </c>
      <c r="I78">
        <v>72</v>
      </c>
      <c r="K78">
        <v>52.413018899999997</v>
      </c>
      <c r="L78">
        <v>-1.7768934999999999</v>
      </c>
    </row>
    <row r="79" spans="1:12" x14ac:dyDescent="0.3">
      <c r="A79">
        <v>78</v>
      </c>
      <c r="B79" t="s">
        <v>927</v>
      </c>
      <c r="C79" t="s">
        <v>928</v>
      </c>
      <c r="D79" t="s">
        <v>929</v>
      </c>
      <c r="E79" t="s">
        <v>769</v>
      </c>
      <c r="F79" t="s">
        <v>770</v>
      </c>
      <c r="G79" t="s">
        <v>486</v>
      </c>
      <c r="J79" s="2">
        <v>16130</v>
      </c>
      <c r="K79">
        <v>51.4405529</v>
      </c>
      <c r="L79">
        <v>-0.30763943773379399</v>
      </c>
    </row>
    <row r="80" spans="1:12" x14ac:dyDescent="0.3">
      <c r="A80">
        <v>79</v>
      </c>
      <c r="B80" t="s">
        <v>930</v>
      </c>
      <c r="C80" t="s">
        <v>931</v>
      </c>
      <c r="D80" t="s">
        <v>932</v>
      </c>
      <c r="E80" t="s">
        <v>932</v>
      </c>
      <c r="F80" t="s">
        <v>933</v>
      </c>
      <c r="G80" t="s">
        <v>486</v>
      </c>
      <c r="J80" s="2">
        <v>21261</v>
      </c>
      <c r="K80">
        <v>53.380263249999999</v>
      </c>
      <c r="L80">
        <v>-6.2938108830729496</v>
      </c>
    </row>
    <row r="81" spans="1:12" x14ac:dyDescent="0.3">
      <c r="A81">
        <v>80</v>
      </c>
      <c r="B81" t="s">
        <v>934</v>
      </c>
      <c r="C81" s="2">
        <v>24431</v>
      </c>
      <c r="D81" t="s">
        <v>935</v>
      </c>
      <c r="E81" t="s">
        <v>936</v>
      </c>
      <c r="F81" t="s">
        <v>916</v>
      </c>
      <c r="G81" t="s">
        <v>486</v>
      </c>
      <c r="H81">
        <v>191</v>
      </c>
      <c r="I81">
        <v>87</v>
      </c>
      <c r="K81">
        <v>-33.928992000000001</v>
      </c>
      <c r="L81">
        <v>18.417396</v>
      </c>
    </row>
    <row r="82" spans="1:12" x14ac:dyDescent="0.3">
      <c r="A82">
        <v>81</v>
      </c>
      <c r="B82" t="s">
        <v>937</v>
      </c>
      <c r="C82" t="s">
        <v>938</v>
      </c>
      <c r="D82" t="s">
        <v>939</v>
      </c>
      <c r="E82" t="s">
        <v>940</v>
      </c>
      <c r="F82" t="s">
        <v>941</v>
      </c>
      <c r="G82" t="s">
        <v>486</v>
      </c>
      <c r="J82" s="2">
        <v>13626</v>
      </c>
      <c r="K82">
        <v>22.601277499999998</v>
      </c>
      <c r="L82">
        <v>88.384147400000003</v>
      </c>
    </row>
    <row r="83" spans="1:12" x14ac:dyDescent="0.3">
      <c r="A83">
        <v>82</v>
      </c>
      <c r="B83" t="s">
        <v>942</v>
      </c>
      <c r="C83" s="2">
        <v>23330</v>
      </c>
      <c r="D83" t="s">
        <v>943</v>
      </c>
      <c r="E83" t="s">
        <v>769</v>
      </c>
      <c r="F83" t="s">
        <v>770</v>
      </c>
      <c r="G83" t="s">
        <v>486</v>
      </c>
      <c r="H83">
        <v>190</v>
      </c>
      <c r="I83">
        <v>74</v>
      </c>
      <c r="K83">
        <v>51.3326098</v>
      </c>
      <c r="L83">
        <v>-0.26782119999999998</v>
      </c>
    </row>
    <row r="84" spans="1:12" x14ac:dyDescent="0.3">
      <c r="A84">
        <v>83</v>
      </c>
      <c r="B84" t="s">
        <v>944</v>
      </c>
      <c r="C84" t="s">
        <v>945</v>
      </c>
      <c r="G84" t="s">
        <v>486</v>
      </c>
      <c r="J84" s="2">
        <v>18345</v>
      </c>
      <c r="K84">
        <v>40.419484300000001</v>
      </c>
      <c r="L84">
        <v>-3.7076302000000001</v>
      </c>
    </row>
    <row r="85" spans="1:12" x14ac:dyDescent="0.3">
      <c r="A85">
        <v>84</v>
      </c>
      <c r="B85" t="s">
        <v>946</v>
      </c>
      <c r="C85" s="2">
        <v>21945</v>
      </c>
      <c r="D85" t="s">
        <v>947</v>
      </c>
      <c r="E85" t="s">
        <v>948</v>
      </c>
      <c r="F85" t="s">
        <v>18</v>
      </c>
      <c r="G85" t="s">
        <v>486</v>
      </c>
      <c r="H85">
        <v>175</v>
      </c>
      <c r="I85">
        <v>71</v>
      </c>
      <c r="K85">
        <v>26.837435800000002</v>
      </c>
      <c r="L85">
        <v>119.7128302</v>
      </c>
    </row>
    <row r="86" spans="1:12" x14ac:dyDescent="0.3">
      <c r="A86">
        <v>85</v>
      </c>
      <c r="B86" t="s">
        <v>949</v>
      </c>
      <c r="C86" s="2">
        <v>24189</v>
      </c>
      <c r="D86" t="s">
        <v>950</v>
      </c>
      <c r="E86" t="s">
        <v>769</v>
      </c>
      <c r="F86" t="s">
        <v>770</v>
      </c>
      <c r="G86" t="s">
        <v>486</v>
      </c>
      <c r="H86">
        <v>170</v>
      </c>
      <c r="I86">
        <v>64</v>
      </c>
      <c r="K86">
        <v>53.165276499999997</v>
      </c>
      <c r="L86">
        <v>-1.4132382999999999</v>
      </c>
    </row>
    <row r="87" spans="1:12" x14ac:dyDescent="0.3">
      <c r="A87">
        <v>86</v>
      </c>
      <c r="B87" t="s">
        <v>951</v>
      </c>
      <c r="C87" t="s">
        <v>952</v>
      </c>
      <c r="D87" t="s">
        <v>953</v>
      </c>
      <c r="E87" t="s">
        <v>769</v>
      </c>
      <c r="F87" t="s">
        <v>770</v>
      </c>
      <c r="G87" t="s">
        <v>486</v>
      </c>
      <c r="J87" s="2">
        <v>14895</v>
      </c>
      <c r="K87">
        <v>54.222008600000002</v>
      </c>
      <c r="L87">
        <v>-1.6564736</v>
      </c>
    </row>
    <row r="88" spans="1:12" x14ac:dyDescent="0.3">
      <c r="A88">
        <v>87</v>
      </c>
      <c r="B88" t="s">
        <v>954</v>
      </c>
      <c r="C88" t="s">
        <v>955</v>
      </c>
      <c r="D88" t="s">
        <v>956</v>
      </c>
      <c r="E88" t="s">
        <v>769</v>
      </c>
      <c r="F88" t="s">
        <v>770</v>
      </c>
      <c r="G88" t="s">
        <v>486</v>
      </c>
      <c r="J88" s="2">
        <v>14364</v>
      </c>
      <c r="K88">
        <v>52.913192000000002</v>
      </c>
      <c r="L88">
        <v>-0.64389739999999995</v>
      </c>
    </row>
    <row r="89" spans="1:12" x14ac:dyDescent="0.3">
      <c r="A89">
        <v>88</v>
      </c>
      <c r="B89" t="s">
        <v>957</v>
      </c>
      <c r="C89" t="s">
        <v>958</v>
      </c>
      <c r="D89" t="s">
        <v>504</v>
      </c>
      <c r="E89" t="s">
        <v>769</v>
      </c>
      <c r="F89" t="s">
        <v>770</v>
      </c>
      <c r="G89" t="s">
        <v>486</v>
      </c>
      <c r="H89">
        <v>178</v>
      </c>
      <c r="J89" s="2">
        <v>7173</v>
      </c>
      <c r="K89">
        <v>51.421478700000002</v>
      </c>
      <c r="L89">
        <v>-0.20640269999999999</v>
      </c>
    </row>
    <row r="90" spans="1:12" x14ac:dyDescent="0.3">
      <c r="A90">
        <v>89</v>
      </c>
      <c r="B90" t="s">
        <v>959</v>
      </c>
      <c r="C90" t="s">
        <v>960</v>
      </c>
      <c r="D90" t="s">
        <v>504</v>
      </c>
      <c r="E90" t="s">
        <v>769</v>
      </c>
      <c r="F90" t="s">
        <v>770</v>
      </c>
      <c r="G90" t="s">
        <v>486</v>
      </c>
      <c r="J90" s="2">
        <v>4016</v>
      </c>
      <c r="K90">
        <v>51.421478700000002</v>
      </c>
      <c r="L90">
        <v>-0.20640269999999999</v>
      </c>
    </row>
    <row r="91" spans="1:12" x14ac:dyDescent="0.3">
      <c r="A91">
        <v>90</v>
      </c>
      <c r="B91" t="s">
        <v>961</v>
      </c>
      <c r="C91" s="2">
        <v>20290</v>
      </c>
      <c r="D91" t="s">
        <v>962</v>
      </c>
      <c r="E91" t="s">
        <v>962</v>
      </c>
      <c r="F91" t="s">
        <v>963</v>
      </c>
      <c r="G91" t="s">
        <v>486</v>
      </c>
      <c r="H91">
        <v>175</v>
      </c>
      <c r="I91">
        <v>66</v>
      </c>
      <c r="K91">
        <v>17.971214799999998</v>
      </c>
      <c r="L91">
        <v>-76.792812799999993</v>
      </c>
    </row>
    <row r="92" spans="1:12" x14ac:dyDescent="0.3">
      <c r="A92">
        <v>91</v>
      </c>
      <c r="B92" t="s">
        <v>964</v>
      </c>
      <c r="C92" t="s">
        <v>965</v>
      </c>
      <c r="D92" t="s">
        <v>966</v>
      </c>
      <c r="E92" t="s">
        <v>967</v>
      </c>
      <c r="F92" t="s">
        <v>968</v>
      </c>
      <c r="G92" t="s">
        <v>486</v>
      </c>
      <c r="J92" s="2">
        <v>7346</v>
      </c>
      <c r="K92">
        <v>-37.814245399999997</v>
      </c>
      <c r="L92">
        <v>144.9631732</v>
      </c>
    </row>
    <row r="93" spans="1:12" x14ac:dyDescent="0.3">
      <c r="A93">
        <v>92</v>
      </c>
      <c r="B93" t="s">
        <v>969</v>
      </c>
      <c r="C93" t="s">
        <v>970</v>
      </c>
      <c r="D93" t="s">
        <v>971</v>
      </c>
      <c r="E93" t="s">
        <v>915</v>
      </c>
      <c r="F93" t="s">
        <v>916</v>
      </c>
      <c r="G93" t="s">
        <v>486</v>
      </c>
      <c r="J93" s="2">
        <v>5402</v>
      </c>
      <c r="K93">
        <v>-29.861825</v>
      </c>
      <c r="L93">
        <v>31.009909</v>
      </c>
    </row>
    <row r="94" spans="1:12" x14ac:dyDescent="0.3">
      <c r="A94">
        <v>93</v>
      </c>
      <c r="B94" t="s">
        <v>972</v>
      </c>
      <c r="C94" s="2">
        <v>25137</v>
      </c>
      <c r="D94" t="s">
        <v>973</v>
      </c>
      <c r="E94" t="s">
        <v>974</v>
      </c>
      <c r="F94" t="s">
        <v>770</v>
      </c>
      <c r="G94" t="s">
        <v>486</v>
      </c>
      <c r="H94">
        <v>173</v>
      </c>
      <c r="I94">
        <v>70</v>
      </c>
      <c r="K94">
        <v>55.069139700000001</v>
      </c>
      <c r="L94">
        <v>-3.6107936</v>
      </c>
    </row>
    <row r="95" spans="1:12" x14ac:dyDescent="0.3">
      <c r="A95">
        <v>94</v>
      </c>
      <c r="B95" t="s">
        <v>975</v>
      </c>
      <c r="C95" t="s">
        <v>976</v>
      </c>
      <c r="D95" t="s">
        <v>977</v>
      </c>
      <c r="E95" t="s">
        <v>769</v>
      </c>
      <c r="F95" t="s">
        <v>770</v>
      </c>
      <c r="G95" t="s">
        <v>486</v>
      </c>
      <c r="J95" s="2">
        <v>27238</v>
      </c>
      <c r="K95">
        <v>51.473738300000001</v>
      </c>
      <c r="L95">
        <v>-0.2492849</v>
      </c>
    </row>
    <row r="96" spans="1:12" x14ac:dyDescent="0.3">
      <c r="A96">
        <v>95</v>
      </c>
      <c r="B96" t="s">
        <v>978</v>
      </c>
      <c r="C96" t="s">
        <v>979</v>
      </c>
      <c r="D96" t="s">
        <v>980</v>
      </c>
      <c r="E96" t="s">
        <v>769</v>
      </c>
      <c r="F96" t="s">
        <v>770</v>
      </c>
      <c r="G96" t="s">
        <v>486</v>
      </c>
      <c r="J96" s="2">
        <v>26254</v>
      </c>
      <c r="K96">
        <v>50.821462599999997</v>
      </c>
      <c r="L96">
        <v>-0.14005609999999999</v>
      </c>
    </row>
    <row r="97" spans="1:12" x14ac:dyDescent="0.3">
      <c r="A97">
        <v>96</v>
      </c>
      <c r="B97" t="s">
        <v>981</v>
      </c>
      <c r="C97" s="2">
        <v>21945</v>
      </c>
      <c r="D97" t="s">
        <v>982</v>
      </c>
      <c r="E97" t="s">
        <v>769</v>
      </c>
      <c r="F97" t="s">
        <v>770</v>
      </c>
      <c r="G97" t="s">
        <v>486</v>
      </c>
      <c r="H97">
        <v>183</v>
      </c>
      <c r="I97">
        <v>83</v>
      </c>
      <c r="K97">
        <v>51.803108299999998</v>
      </c>
      <c r="L97">
        <v>-0.20688719999999999</v>
      </c>
    </row>
    <row r="98" spans="1:12" x14ac:dyDescent="0.3">
      <c r="A98">
        <v>97</v>
      </c>
      <c r="B98" t="s">
        <v>983</v>
      </c>
      <c r="C98" t="s">
        <v>984</v>
      </c>
      <c r="D98" t="s">
        <v>985</v>
      </c>
      <c r="E98" t="s">
        <v>769</v>
      </c>
      <c r="F98" t="s">
        <v>770</v>
      </c>
      <c r="G98" t="s">
        <v>486</v>
      </c>
      <c r="J98" s="2">
        <v>10563</v>
      </c>
      <c r="K98">
        <v>50.872765700000002</v>
      </c>
      <c r="L98">
        <v>-1.5748435999999999</v>
      </c>
    </row>
    <row r="99" spans="1:12" x14ac:dyDescent="0.3">
      <c r="A99">
        <v>98</v>
      </c>
      <c r="B99" t="s">
        <v>986</v>
      </c>
      <c r="C99" s="2">
        <v>24040</v>
      </c>
      <c r="D99" t="s">
        <v>987</v>
      </c>
      <c r="E99" t="s">
        <v>769</v>
      </c>
      <c r="F99" t="s">
        <v>770</v>
      </c>
      <c r="G99" t="s">
        <v>486</v>
      </c>
      <c r="H99">
        <v>183</v>
      </c>
      <c r="I99">
        <v>73</v>
      </c>
      <c r="K99">
        <v>51.584470099999997</v>
      </c>
      <c r="L99">
        <v>-1.8818600000000001E-2</v>
      </c>
    </row>
    <row r="100" spans="1:12" x14ac:dyDescent="0.3">
      <c r="A100">
        <v>99</v>
      </c>
      <c r="B100" t="s">
        <v>988</v>
      </c>
      <c r="C100" s="2">
        <v>27278</v>
      </c>
      <c r="D100" t="s">
        <v>840</v>
      </c>
      <c r="E100" t="s">
        <v>769</v>
      </c>
      <c r="F100" t="s">
        <v>770</v>
      </c>
      <c r="G100" t="s">
        <v>486</v>
      </c>
      <c r="H100">
        <v>185</v>
      </c>
      <c r="I100">
        <v>77</v>
      </c>
      <c r="K100">
        <v>51.752013099999999</v>
      </c>
      <c r="L100">
        <v>-1.2578499000000001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3667-81FF-488D-AA57-CC47EECB2DBD}">
  <dimension ref="A1:C100"/>
  <sheetViews>
    <sheetView workbookViewId="0">
      <selection sqref="A1:C100"/>
    </sheetView>
  </sheetViews>
  <sheetFormatPr baseColWidth="10" defaultRowHeight="14.4" x14ac:dyDescent="0.3"/>
  <sheetData>
    <row r="1" spans="1:3" x14ac:dyDescent="0.3">
      <c r="A1" t="s">
        <v>283</v>
      </c>
      <c r="B1" t="s">
        <v>999</v>
      </c>
      <c r="C1" t="s">
        <v>1000</v>
      </c>
    </row>
    <row r="2" spans="1:3" x14ac:dyDescent="0.3">
      <c r="A2" t="s">
        <v>1001</v>
      </c>
      <c r="B2" t="s">
        <v>1002</v>
      </c>
    </row>
    <row r="3" spans="1:3" x14ac:dyDescent="0.3">
      <c r="A3" t="s">
        <v>1003</v>
      </c>
      <c r="B3" t="s">
        <v>1004</v>
      </c>
      <c r="C3" t="s">
        <v>1005</v>
      </c>
    </row>
    <row r="4" spans="1:3" x14ac:dyDescent="0.3">
      <c r="A4" t="s">
        <v>1006</v>
      </c>
      <c r="B4" t="s">
        <v>1007</v>
      </c>
    </row>
    <row r="5" spans="1:3" x14ac:dyDescent="0.3">
      <c r="A5" t="s">
        <v>1008</v>
      </c>
      <c r="B5" t="s">
        <v>1009</v>
      </c>
    </row>
    <row r="6" spans="1:3" x14ac:dyDescent="0.3">
      <c r="A6" t="s">
        <v>1010</v>
      </c>
      <c r="B6" t="s">
        <v>1011</v>
      </c>
    </row>
    <row r="7" spans="1:3" x14ac:dyDescent="0.3">
      <c r="A7" t="s">
        <v>1012</v>
      </c>
      <c r="B7" t="s">
        <v>1013</v>
      </c>
    </row>
    <row r="8" spans="1:3" x14ac:dyDescent="0.3">
      <c r="A8" t="s">
        <v>1014</v>
      </c>
      <c r="B8" t="s">
        <v>1015</v>
      </c>
      <c r="C8" t="s">
        <v>1016</v>
      </c>
    </row>
    <row r="9" spans="1:3" x14ac:dyDescent="0.3">
      <c r="A9" t="s">
        <v>1017</v>
      </c>
      <c r="B9" t="s">
        <v>1018</v>
      </c>
      <c r="C9" t="s">
        <v>1019</v>
      </c>
    </row>
    <row r="10" spans="1:3" x14ac:dyDescent="0.3">
      <c r="A10" t="s">
        <v>1020</v>
      </c>
      <c r="B10" t="s">
        <v>1021</v>
      </c>
    </row>
    <row r="11" spans="1:3" x14ac:dyDescent="0.3">
      <c r="A11" t="s">
        <v>1022</v>
      </c>
      <c r="B11" t="s">
        <v>1023</v>
      </c>
    </row>
    <row r="12" spans="1:3" x14ac:dyDescent="0.3">
      <c r="A12" t="s">
        <v>1024</v>
      </c>
      <c r="B12" t="s">
        <v>1025</v>
      </c>
    </row>
    <row r="13" spans="1:3" x14ac:dyDescent="0.3">
      <c r="A13" t="s">
        <v>1026</v>
      </c>
      <c r="B13" t="s">
        <v>1027</v>
      </c>
    </row>
    <row r="14" spans="1:3" x14ac:dyDescent="0.3">
      <c r="A14" t="s">
        <v>968</v>
      </c>
      <c r="B14" t="s">
        <v>1018</v>
      </c>
    </row>
    <row r="15" spans="1:3" x14ac:dyDescent="0.3">
      <c r="A15" t="s">
        <v>1028</v>
      </c>
      <c r="B15" t="s">
        <v>1029</v>
      </c>
    </row>
    <row r="16" spans="1:3" x14ac:dyDescent="0.3">
      <c r="A16" t="s">
        <v>1030</v>
      </c>
      <c r="B16" t="s">
        <v>1031</v>
      </c>
    </row>
    <row r="17" spans="1:3" x14ac:dyDescent="0.3">
      <c r="A17" t="s">
        <v>1032</v>
      </c>
      <c r="B17" t="s">
        <v>1033</v>
      </c>
    </row>
    <row r="18" spans="1:3" x14ac:dyDescent="0.3">
      <c r="A18" t="s">
        <v>1034</v>
      </c>
      <c r="B18" t="s">
        <v>1035</v>
      </c>
    </row>
    <row r="19" spans="1:3" x14ac:dyDescent="0.3">
      <c r="A19" t="s">
        <v>1036</v>
      </c>
      <c r="B19" t="s">
        <v>1037</v>
      </c>
    </row>
    <row r="20" spans="1:3" x14ac:dyDescent="0.3">
      <c r="A20" t="s">
        <v>1038</v>
      </c>
      <c r="B20" t="s">
        <v>1039</v>
      </c>
    </row>
    <row r="21" spans="1:3" x14ac:dyDescent="0.3">
      <c r="A21" t="s">
        <v>1040</v>
      </c>
      <c r="B21" t="s">
        <v>1041</v>
      </c>
    </row>
    <row r="22" spans="1:3" x14ac:dyDescent="0.3">
      <c r="A22" t="s">
        <v>1042</v>
      </c>
      <c r="B22" t="s">
        <v>1043</v>
      </c>
    </row>
    <row r="23" spans="1:3" x14ac:dyDescent="0.3">
      <c r="A23" t="s">
        <v>1044</v>
      </c>
      <c r="B23" t="s">
        <v>1045</v>
      </c>
    </row>
    <row r="24" spans="1:3" x14ac:dyDescent="0.3">
      <c r="A24" t="s">
        <v>1046</v>
      </c>
      <c r="B24" t="s">
        <v>1047</v>
      </c>
    </row>
    <row r="25" spans="1:3" x14ac:dyDescent="0.3">
      <c r="A25" t="s">
        <v>1048</v>
      </c>
      <c r="B25" t="s">
        <v>1049</v>
      </c>
    </row>
    <row r="26" spans="1:3" x14ac:dyDescent="0.3">
      <c r="A26" t="s">
        <v>1050</v>
      </c>
      <c r="B26" t="s">
        <v>1051</v>
      </c>
    </row>
    <row r="27" spans="1:3" x14ac:dyDescent="0.3">
      <c r="A27" t="s">
        <v>1052</v>
      </c>
      <c r="B27" t="s">
        <v>1053</v>
      </c>
    </row>
    <row r="28" spans="1:3" x14ac:dyDescent="0.3">
      <c r="A28" t="s">
        <v>1054</v>
      </c>
      <c r="B28" t="s">
        <v>1055</v>
      </c>
      <c r="C28" t="s">
        <v>1056</v>
      </c>
    </row>
    <row r="29" spans="1:3" x14ac:dyDescent="0.3">
      <c r="A29" t="s">
        <v>1057</v>
      </c>
      <c r="B29" t="s">
        <v>1058</v>
      </c>
    </row>
    <row r="30" spans="1:3" x14ac:dyDescent="0.3">
      <c r="A30" t="s">
        <v>1059</v>
      </c>
      <c r="B30" t="s">
        <v>1060</v>
      </c>
    </row>
    <row r="31" spans="1:3" x14ac:dyDescent="0.3">
      <c r="A31" t="s">
        <v>1061</v>
      </c>
      <c r="B31" t="s">
        <v>1062</v>
      </c>
    </row>
    <row r="32" spans="1:3" x14ac:dyDescent="0.3">
      <c r="A32" t="s">
        <v>1063</v>
      </c>
      <c r="B32" t="s">
        <v>1064</v>
      </c>
    </row>
    <row r="33" spans="1:2" x14ac:dyDescent="0.3">
      <c r="A33" t="s">
        <v>1065</v>
      </c>
      <c r="B33" t="s">
        <v>1066</v>
      </c>
    </row>
    <row r="34" spans="1:2" x14ac:dyDescent="0.3">
      <c r="A34" t="s">
        <v>1067</v>
      </c>
      <c r="B34" t="s">
        <v>1068</v>
      </c>
    </row>
    <row r="35" spans="1:2" x14ac:dyDescent="0.3">
      <c r="A35" t="s">
        <v>1069</v>
      </c>
      <c r="B35" t="s">
        <v>1070</v>
      </c>
    </row>
    <row r="36" spans="1:2" x14ac:dyDescent="0.3">
      <c r="A36" t="s">
        <v>1071</v>
      </c>
      <c r="B36" t="s">
        <v>1072</v>
      </c>
    </row>
    <row r="37" spans="1:2" x14ac:dyDescent="0.3">
      <c r="A37" t="s">
        <v>1073</v>
      </c>
      <c r="B37" t="s">
        <v>1074</v>
      </c>
    </row>
    <row r="38" spans="1:2" x14ac:dyDescent="0.3">
      <c r="A38" t="s">
        <v>1075</v>
      </c>
      <c r="B38" t="s">
        <v>1076</v>
      </c>
    </row>
    <row r="39" spans="1:2" x14ac:dyDescent="0.3">
      <c r="A39" t="s">
        <v>1077</v>
      </c>
      <c r="B39" t="s">
        <v>1078</v>
      </c>
    </row>
    <row r="40" spans="1:2" x14ac:dyDescent="0.3">
      <c r="A40" t="s">
        <v>1079</v>
      </c>
      <c r="B40" t="s">
        <v>1080</v>
      </c>
    </row>
    <row r="41" spans="1:2" x14ac:dyDescent="0.3">
      <c r="A41" t="s">
        <v>1081</v>
      </c>
      <c r="B41" t="s">
        <v>1082</v>
      </c>
    </row>
    <row r="42" spans="1:2" x14ac:dyDescent="0.3">
      <c r="A42" t="s">
        <v>1083</v>
      </c>
      <c r="B42" t="s">
        <v>1084</v>
      </c>
    </row>
    <row r="43" spans="1:2" x14ac:dyDescent="0.3">
      <c r="A43" t="s">
        <v>18</v>
      </c>
      <c r="B43" t="s">
        <v>17</v>
      </c>
    </row>
    <row r="44" spans="1:2" x14ac:dyDescent="0.3">
      <c r="A44" t="s">
        <v>1085</v>
      </c>
      <c r="B44" t="s">
        <v>1086</v>
      </c>
    </row>
    <row r="45" spans="1:2" x14ac:dyDescent="0.3">
      <c r="A45" t="s">
        <v>1087</v>
      </c>
      <c r="B45" t="s">
        <v>1088</v>
      </c>
    </row>
    <row r="46" spans="1:2" x14ac:dyDescent="0.3">
      <c r="A46" t="s">
        <v>1089</v>
      </c>
      <c r="B46" t="s">
        <v>1090</v>
      </c>
    </row>
    <row r="47" spans="1:2" x14ac:dyDescent="0.3">
      <c r="A47" t="s">
        <v>1091</v>
      </c>
      <c r="B47" t="s">
        <v>1092</v>
      </c>
    </row>
    <row r="48" spans="1:2" x14ac:dyDescent="0.3">
      <c r="A48" t="s">
        <v>1093</v>
      </c>
      <c r="B48" t="s">
        <v>1094</v>
      </c>
    </row>
    <row r="49" spans="1:3" x14ac:dyDescent="0.3">
      <c r="A49" t="s">
        <v>1095</v>
      </c>
      <c r="B49" t="s">
        <v>1096</v>
      </c>
    </row>
    <row r="50" spans="1:3" x14ac:dyDescent="0.3">
      <c r="A50" t="s">
        <v>1097</v>
      </c>
      <c r="B50" t="s">
        <v>1098</v>
      </c>
    </row>
    <row r="51" spans="1:3" x14ac:dyDescent="0.3">
      <c r="A51" t="s">
        <v>1099</v>
      </c>
      <c r="B51" t="s">
        <v>1100</v>
      </c>
    </row>
    <row r="52" spans="1:3" x14ac:dyDescent="0.3">
      <c r="A52" t="s">
        <v>1101</v>
      </c>
      <c r="B52" t="s">
        <v>1102</v>
      </c>
    </row>
    <row r="53" spans="1:3" x14ac:dyDescent="0.3">
      <c r="A53" t="s">
        <v>1103</v>
      </c>
      <c r="B53" t="s">
        <v>1104</v>
      </c>
      <c r="C53" t="s">
        <v>1105</v>
      </c>
    </row>
    <row r="54" spans="1:3" x14ac:dyDescent="0.3">
      <c r="A54" t="s">
        <v>1106</v>
      </c>
      <c r="B54" t="s">
        <v>1107</v>
      </c>
    </row>
    <row r="55" spans="1:3" x14ac:dyDescent="0.3">
      <c r="A55" t="s">
        <v>1108</v>
      </c>
      <c r="B55" t="s">
        <v>1109</v>
      </c>
    </row>
    <row r="56" spans="1:3" x14ac:dyDescent="0.3">
      <c r="A56" t="s">
        <v>1110</v>
      </c>
      <c r="B56" t="s">
        <v>1055</v>
      </c>
    </row>
    <row r="57" spans="1:3" x14ac:dyDescent="0.3">
      <c r="A57" t="s">
        <v>32</v>
      </c>
      <c r="B57" t="s">
        <v>31</v>
      </c>
    </row>
    <row r="58" spans="1:3" x14ac:dyDescent="0.3">
      <c r="A58" t="s">
        <v>1111</v>
      </c>
      <c r="B58" t="s">
        <v>1112</v>
      </c>
    </row>
    <row r="59" spans="1:3" x14ac:dyDescent="0.3">
      <c r="A59" t="s">
        <v>1113</v>
      </c>
      <c r="B59" t="s">
        <v>1114</v>
      </c>
    </row>
    <row r="60" spans="1:3" x14ac:dyDescent="0.3">
      <c r="A60" t="s">
        <v>1115</v>
      </c>
      <c r="B60" t="s">
        <v>1116</v>
      </c>
    </row>
    <row r="61" spans="1:3" x14ac:dyDescent="0.3">
      <c r="A61" t="s">
        <v>1117</v>
      </c>
      <c r="B61" t="s">
        <v>1118</v>
      </c>
    </row>
    <row r="62" spans="1:3" x14ac:dyDescent="0.3">
      <c r="A62" t="s">
        <v>1119</v>
      </c>
      <c r="B62" t="s">
        <v>1120</v>
      </c>
    </row>
    <row r="63" spans="1:3" x14ac:dyDescent="0.3">
      <c r="A63" t="s">
        <v>1121</v>
      </c>
      <c r="B63" t="s">
        <v>1122</v>
      </c>
    </row>
    <row r="64" spans="1:3" x14ac:dyDescent="0.3">
      <c r="A64" t="s">
        <v>1123</v>
      </c>
      <c r="B64" t="s">
        <v>1124</v>
      </c>
    </row>
    <row r="65" spans="1:2" x14ac:dyDescent="0.3">
      <c r="A65" t="s">
        <v>1125</v>
      </c>
      <c r="B65" t="s">
        <v>1126</v>
      </c>
    </row>
    <row r="66" spans="1:2" x14ac:dyDescent="0.3">
      <c r="A66" t="s">
        <v>193</v>
      </c>
      <c r="B66" t="s">
        <v>192</v>
      </c>
    </row>
    <row r="67" spans="1:2" x14ac:dyDescent="0.3">
      <c r="A67" t="s">
        <v>1127</v>
      </c>
      <c r="B67" t="s">
        <v>1128</v>
      </c>
    </row>
    <row r="68" spans="1:2" x14ac:dyDescent="0.3">
      <c r="A68" t="s">
        <v>1129</v>
      </c>
      <c r="B68" t="s">
        <v>1130</v>
      </c>
    </row>
    <row r="69" spans="1:2" x14ac:dyDescent="0.3">
      <c r="A69" t="s">
        <v>1131</v>
      </c>
      <c r="B69" t="s">
        <v>1132</v>
      </c>
    </row>
    <row r="70" spans="1:2" x14ac:dyDescent="0.3">
      <c r="A70" t="s">
        <v>76</v>
      </c>
      <c r="B70" t="s">
        <v>75</v>
      </c>
    </row>
    <row r="71" spans="1:2" x14ac:dyDescent="0.3">
      <c r="A71" t="s">
        <v>203</v>
      </c>
      <c r="B71" t="s">
        <v>202</v>
      </c>
    </row>
    <row r="72" spans="1:2" x14ac:dyDescent="0.3">
      <c r="A72" t="s">
        <v>1133</v>
      </c>
      <c r="B72" t="s">
        <v>1134</v>
      </c>
    </row>
    <row r="73" spans="1:2" x14ac:dyDescent="0.3">
      <c r="A73" t="s">
        <v>1135</v>
      </c>
      <c r="B73" t="s">
        <v>1136</v>
      </c>
    </row>
    <row r="74" spans="1:2" x14ac:dyDescent="0.3">
      <c r="A74" t="s">
        <v>1137</v>
      </c>
      <c r="B74" t="s">
        <v>1138</v>
      </c>
    </row>
    <row r="75" spans="1:2" x14ac:dyDescent="0.3">
      <c r="A75" t="s">
        <v>1139</v>
      </c>
      <c r="B75" t="s">
        <v>1140</v>
      </c>
    </row>
    <row r="76" spans="1:2" x14ac:dyDescent="0.3">
      <c r="A76" t="s">
        <v>770</v>
      </c>
      <c r="B76" t="s">
        <v>1141</v>
      </c>
    </row>
    <row r="77" spans="1:2" x14ac:dyDescent="0.3">
      <c r="A77" t="s">
        <v>1142</v>
      </c>
      <c r="B77" t="s">
        <v>1143</v>
      </c>
    </row>
    <row r="78" spans="1:2" x14ac:dyDescent="0.3">
      <c r="A78" t="s">
        <v>1144</v>
      </c>
      <c r="B78" t="s">
        <v>1134</v>
      </c>
    </row>
    <row r="79" spans="1:2" x14ac:dyDescent="0.3">
      <c r="A79" t="s">
        <v>1145</v>
      </c>
      <c r="B79" t="s">
        <v>1146</v>
      </c>
    </row>
    <row r="80" spans="1:2" x14ac:dyDescent="0.3">
      <c r="A80" t="s">
        <v>1147</v>
      </c>
      <c r="B80" t="s">
        <v>1148</v>
      </c>
    </row>
    <row r="81" spans="1:3" x14ac:dyDescent="0.3">
      <c r="A81" t="s">
        <v>1149</v>
      </c>
      <c r="B81" t="s">
        <v>1134</v>
      </c>
    </row>
    <row r="82" spans="1:3" x14ac:dyDescent="0.3">
      <c r="A82" t="s">
        <v>1150</v>
      </c>
      <c r="B82" t="s">
        <v>1151</v>
      </c>
    </row>
    <row r="83" spans="1:3" x14ac:dyDescent="0.3">
      <c r="A83" t="s">
        <v>1152</v>
      </c>
      <c r="B83" t="s">
        <v>1104</v>
      </c>
    </row>
    <row r="84" spans="1:3" x14ac:dyDescent="0.3">
      <c r="A84" t="s">
        <v>1153</v>
      </c>
      <c r="B84" t="s">
        <v>1154</v>
      </c>
    </row>
    <row r="85" spans="1:3" x14ac:dyDescent="0.3">
      <c r="A85" t="s">
        <v>1155</v>
      </c>
      <c r="B85" t="s">
        <v>1156</v>
      </c>
    </row>
    <row r="86" spans="1:3" x14ac:dyDescent="0.3">
      <c r="A86" t="s">
        <v>1157</v>
      </c>
      <c r="B86" t="s">
        <v>1158</v>
      </c>
    </row>
    <row r="87" spans="1:3" x14ac:dyDescent="0.3">
      <c r="A87" t="s">
        <v>1159</v>
      </c>
      <c r="B87" t="s">
        <v>1160</v>
      </c>
    </row>
    <row r="88" spans="1:3" x14ac:dyDescent="0.3">
      <c r="A88" t="s">
        <v>1161</v>
      </c>
      <c r="B88" t="s">
        <v>1162</v>
      </c>
    </row>
    <row r="89" spans="1:3" x14ac:dyDescent="0.3">
      <c r="A89" t="s">
        <v>1163</v>
      </c>
      <c r="B89" t="s">
        <v>1164</v>
      </c>
    </row>
    <row r="90" spans="1:3" x14ac:dyDescent="0.3">
      <c r="A90" t="s">
        <v>1165</v>
      </c>
      <c r="B90" t="s">
        <v>17</v>
      </c>
      <c r="C90" t="s">
        <v>1166</v>
      </c>
    </row>
    <row r="91" spans="1:3" x14ac:dyDescent="0.3">
      <c r="A91" t="s">
        <v>1167</v>
      </c>
      <c r="B91" t="s">
        <v>1168</v>
      </c>
    </row>
    <row r="92" spans="1:3" x14ac:dyDescent="0.3">
      <c r="A92" t="s">
        <v>1169</v>
      </c>
      <c r="B92" t="s">
        <v>1170</v>
      </c>
    </row>
    <row r="93" spans="1:3" x14ac:dyDescent="0.3">
      <c r="A93" t="s">
        <v>1171</v>
      </c>
      <c r="B93" t="s">
        <v>1172</v>
      </c>
    </row>
    <row r="94" spans="1:3" x14ac:dyDescent="0.3">
      <c r="A94" t="s">
        <v>941</v>
      </c>
      <c r="B94" t="s">
        <v>1173</v>
      </c>
    </row>
    <row r="95" spans="1:3" x14ac:dyDescent="0.3">
      <c r="A95" t="s">
        <v>1174</v>
      </c>
      <c r="B95" t="s">
        <v>1175</v>
      </c>
      <c r="C95" t="s">
        <v>1175</v>
      </c>
    </row>
    <row r="96" spans="1:3" x14ac:dyDescent="0.3">
      <c r="A96" t="s">
        <v>1176</v>
      </c>
      <c r="B96" t="s">
        <v>1177</v>
      </c>
    </row>
    <row r="97" spans="1:2" x14ac:dyDescent="0.3">
      <c r="A97" t="s">
        <v>933</v>
      </c>
      <c r="B97" t="s">
        <v>666</v>
      </c>
    </row>
    <row r="98" spans="1:2" x14ac:dyDescent="0.3">
      <c r="A98" t="s">
        <v>843</v>
      </c>
      <c r="B98" t="s">
        <v>1178</v>
      </c>
    </row>
    <row r="99" spans="1:2" x14ac:dyDescent="0.3">
      <c r="A99" t="s">
        <v>1179</v>
      </c>
      <c r="B99" t="s">
        <v>1180</v>
      </c>
    </row>
    <row r="100" spans="1:2" x14ac:dyDescent="0.3">
      <c r="A100" t="s">
        <v>1181</v>
      </c>
      <c r="B100" t="s">
        <v>1182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B61D-4973-40EC-896E-4D0E2786A420}">
  <dimension ref="A1:K100"/>
  <sheetViews>
    <sheetView workbookViewId="0">
      <selection sqref="A1:K100"/>
    </sheetView>
  </sheetViews>
  <sheetFormatPr baseColWidth="10" defaultRowHeight="14.4" x14ac:dyDescent="0.3"/>
  <sheetData>
    <row r="1" spans="1:11" x14ac:dyDescent="0.3">
      <c r="A1" t="s">
        <v>1183</v>
      </c>
      <c r="B1" t="s">
        <v>304</v>
      </c>
      <c r="C1" t="s">
        <v>305</v>
      </c>
      <c r="D1" t="s">
        <v>279</v>
      </c>
      <c r="E1" t="s">
        <v>283</v>
      </c>
      <c r="F1" t="s">
        <v>309</v>
      </c>
      <c r="G1" t="s">
        <v>310</v>
      </c>
      <c r="H1" t="s">
        <v>311</v>
      </c>
      <c r="I1" t="s">
        <v>312</v>
      </c>
      <c r="J1" t="s">
        <v>278</v>
      </c>
      <c r="K1" t="s">
        <v>281</v>
      </c>
    </row>
    <row r="2" spans="1:11" x14ac:dyDescent="0.3">
      <c r="A2">
        <v>0</v>
      </c>
      <c r="B2" t="s">
        <v>15</v>
      </c>
      <c r="C2" t="s">
        <v>16</v>
      </c>
      <c r="D2" t="s">
        <v>17</v>
      </c>
      <c r="E2" t="s">
        <v>18</v>
      </c>
      <c r="F2">
        <v>1992</v>
      </c>
      <c r="G2" t="s">
        <v>20</v>
      </c>
      <c r="H2" t="s">
        <v>21</v>
      </c>
      <c r="I2" t="s">
        <v>22</v>
      </c>
      <c r="J2" t="s">
        <v>23</v>
      </c>
      <c r="K2" t="s">
        <v>1184</v>
      </c>
    </row>
    <row r="3" spans="1:11" x14ac:dyDescent="0.3">
      <c r="A3">
        <v>1</v>
      </c>
      <c r="B3" t="s">
        <v>25</v>
      </c>
      <c r="C3" t="s">
        <v>16</v>
      </c>
      <c r="D3" t="s">
        <v>17</v>
      </c>
      <c r="E3" t="s">
        <v>18</v>
      </c>
      <c r="F3">
        <v>2012</v>
      </c>
      <c r="G3" t="s">
        <v>20</v>
      </c>
      <c r="H3" t="s">
        <v>27</v>
      </c>
      <c r="I3" t="s">
        <v>28</v>
      </c>
      <c r="J3" t="s">
        <v>29</v>
      </c>
      <c r="K3" t="s">
        <v>1184</v>
      </c>
    </row>
    <row r="4" spans="1:11" x14ac:dyDescent="0.3">
      <c r="A4">
        <v>2</v>
      </c>
      <c r="B4" t="s">
        <v>1185</v>
      </c>
      <c r="C4" t="s">
        <v>16</v>
      </c>
      <c r="D4" t="s">
        <v>31</v>
      </c>
      <c r="E4" t="s">
        <v>32</v>
      </c>
      <c r="F4">
        <v>1920</v>
      </c>
      <c r="G4" t="s">
        <v>20</v>
      </c>
      <c r="H4" t="s">
        <v>34</v>
      </c>
      <c r="I4" t="s">
        <v>35</v>
      </c>
      <c r="J4" t="s">
        <v>36</v>
      </c>
      <c r="K4" t="s">
        <v>1184</v>
      </c>
    </row>
    <row r="5" spans="1:11" x14ac:dyDescent="0.3">
      <c r="A5">
        <v>3</v>
      </c>
      <c r="B5" t="s">
        <v>1186</v>
      </c>
      <c r="C5" t="s">
        <v>16</v>
      </c>
      <c r="D5" t="s">
        <v>38</v>
      </c>
      <c r="E5" t="s">
        <v>32</v>
      </c>
      <c r="F5">
        <v>1900</v>
      </c>
      <c r="G5" t="s">
        <v>20</v>
      </c>
      <c r="H5" t="s">
        <v>40</v>
      </c>
      <c r="I5" t="s">
        <v>41</v>
      </c>
      <c r="J5" t="s">
        <v>42</v>
      </c>
      <c r="K5" t="s">
        <v>43</v>
      </c>
    </row>
    <row r="6" spans="1:11" x14ac:dyDescent="0.3">
      <c r="A6">
        <v>26</v>
      </c>
      <c r="B6" t="s">
        <v>1187</v>
      </c>
      <c r="C6" t="s">
        <v>45</v>
      </c>
      <c r="D6" t="s">
        <v>46</v>
      </c>
      <c r="E6" t="s">
        <v>47</v>
      </c>
      <c r="F6">
        <v>1932</v>
      </c>
      <c r="G6" t="s">
        <v>20</v>
      </c>
      <c r="H6" t="s">
        <v>70</v>
      </c>
      <c r="I6" t="s">
        <v>71</v>
      </c>
      <c r="J6" t="s">
        <v>72</v>
      </c>
      <c r="K6" t="s">
        <v>1184</v>
      </c>
    </row>
    <row r="7" spans="1:11" x14ac:dyDescent="0.3">
      <c r="A7">
        <v>27</v>
      </c>
      <c r="B7" t="s">
        <v>1187</v>
      </c>
      <c r="C7" t="s">
        <v>45</v>
      </c>
      <c r="D7" t="s">
        <v>46</v>
      </c>
      <c r="E7" t="s">
        <v>47</v>
      </c>
      <c r="F7">
        <v>1932</v>
      </c>
      <c r="G7" t="s">
        <v>20</v>
      </c>
      <c r="H7" t="s">
        <v>70</v>
      </c>
      <c r="I7" t="s">
        <v>71</v>
      </c>
      <c r="J7" t="s">
        <v>73</v>
      </c>
      <c r="K7" t="s">
        <v>1184</v>
      </c>
    </row>
    <row r="8" spans="1:11" x14ac:dyDescent="0.3">
      <c r="A8">
        <v>29</v>
      </c>
      <c r="B8" t="s">
        <v>1188</v>
      </c>
      <c r="C8" t="s">
        <v>16</v>
      </c>
      <c r="D8" t="s">
        <v>75</v>
      </c>
      <c r="E8" t="s">
        <v>76</v>
      </c>
      <c r="F8">
        <v>1952</v>
      </c>
      <c r="G8" t="s">
        <v>20</v>
      </c>
      <c r="H8" t="s">
        <v>83</v>
      </c>
      <c r="I8" t="s">
        <v>84</v>
      </c>
      <c r="J8" t="s">
        <v>85</v>
      </c>
      <c r="K8" t="s">
        <v>1184</v>
      </c>
    </row>
    <row r="9" spans="1:11" x14ac:dyDescent="0.3">
      <c r="A9">
        <v>31</v>
      </c>
      <c r="B9" t="s">
        <v>1189</v>
      </c>
      <c r="C9" t="s">
        <v>16</v>
      </c>
      <c r="D9" t="s">
        <v>75</v>
      </c>
      <c r="E9" t="s">
        <v>76</v>
      </c>
      <c r="F9">
        <v>2000</v>
      </c>
      <c r="G9" t="s">
        <v>20</v>
      </c>
      <c r="H9" t="s">
        <v>91</v>
      </c>
      <c r="I9" t="s">
        <v>92</v>
      </c>
      <c r="J9" t="s">
        <v>93</v>
      </c>
      <c r="K9" t="s">
        <v>1184</v>
      </c>
    </row>
    <row r="10" spans="1:11" x14ac:dyDescent="0.3">
      <c r="A10">
        <v>32</v>
      </c>
      <c r="B10" t="s">
        <v>1190</v>
      </c>
      <c r="C10" t="s">
        <v>45</v>
      </c>
      <c r="D10" t="s">
        <v>75</v>
      </c>
      <c r="E10" t="s">
        <v>76</v>
      </c>
      <c r="F10">
        <v>1996</v>
      </c>
      <c r="G10" t="s">
        <v>20</v>
      </c>
      <c r="H10" t="s">
        <v>96</v>
      </c>
      <c r="I10" t="s">
        <v>97</v>
      </c>
      <c r="J10" t="s">
        <v>98</v>
      </c>
      <c r="K10" t="s">
        <v>1184</v>
      </c>
    </row>
    <row r="11" spans="1:11" x14ac:dyDescent="0.3">
      <c r="A11">
        <v>33</v>
      </c>
      <c r="B11" t="s">
        <v>1190</v>
      </c>
      <c r="C11" t="s">
        <v>45</v>
      </c>
      <c r="D11" t="s">
        <v>75</v>
      </c>
      <c r="E11" t="s">
        <v>76</v>
      </c>
      <c r="F11">
        <v>2000</v>
      </c>
      <c r="G11" t="s">
        <v>20</v>
      </c>
      <c r="H11" t="s">
        <v>91</v>
      </c>
      <c r="I11" t="s">
        <v>97</v>
      </c>
      <c r="J11" t="s">
        <v>98</v>
      </c>
      <c r="K11" t="s">
        <v>1184</v>
      </c>
    </row>
    <row r="12" spans="1:11" x14ac:dyDescent="0.3">
      <c r="A12">
        <v>35</v>
      </c>
      <c r="B12" t="s">
        <v>1191</v>
      </c>
      <c r="C12" t="s">
        <v>16</v>
      </c>
      <c r="D12" t="s">
        <v>75</v>
      </c>
      <c r="E12" t="s">
        <v>76</v>
      </c>
      <c r="F12">
        <v>1912</v>
      </c>
      <c r="G12" t="s">
        <v>20</v>
      </c>
      <c r="H12" t="s">
        <v>104</v>
      </c>
      <c r="I12" t="s">
        <v>84</v>
      </c>
      <c r="J12" t="s">
        <v>105</v>
      </c>
      <c r="K12" t="s">
        <v>1184</v>
      </c>
    </row>
    <row r="13" spans="1:11" x14ac:dyDescent="0.3">
      <c r="A13">
        <v>36</v>
      </c>
      <c r="B13" t="s">
        <v>1191</v>
      </c>
      <c r="C13" t="s">
        <v>16</v>
      </c>
      <c r="D13" t="s">
        <v>75</v>
      </c>
      <c r="E13" t="s">
        <v>76</v>
      </c>
      <c r="F13">
        <v>1912</v>
      </c>
      <c r="G13" t="s">
        <v>20</v>
      </c>
      <c r="H13" t="s">
        <v>104</v>
      </c>
      <c r="I13" t="s">
        <v>84</v>
      </c>
      <c r="J13" t="s">
        <v>106</v>
      </c>
      <c r="K13" t="s">
        <v>1184</v>
      </c>
    </row>
    <row r="14" spans="1:11" x14ac:dyDescent="0.3">
      <c r="A14">
        <v>37</v>
      </c>
      <c r="B14" t="s">
        <v>1191</v>
      </c>
      <c r="C14" t="s">
        <v>16</v>
      </c>
      <c r="D14" t="s">
        <v>75</v>
      </c>
      <c r="E14" t="s">
        <v>76</v>
      </c>
      <c r="F14">
        <v>1920</v>
      </c>
      <c r="G14" t="s">
        <v>20</v>
      </c>
      <c r="H14" t="s">
        <v>34</v>
      </c>
      <c r="I14" t="s">
        <v>84</v>
      </c>
      <c r="J14" t="s">
        <v>105</v>
      </c>
      <c r="K14" t="s">
        <v>107</v>
      </c>
    </row>
    <row r="15" spans="1:11" x14ac:dyDescent="0.3">
      <c r="A15">
        <v>38</v>
      </c>
      <c r="B15" t="s">
        <v>1191</v>
      </c>
      <c r="C15" t="s">
        <v>16</v>
      </c>
      <c r="D15" t="s">
        <v>75</v>
      </c>
      <c r="E15" t="s">
        <v>76</v>
      </c>
      <c r="F15">
        <v>1920</v>
      </c>
      <c r="G15" t="s">
        <v>20</v>
      </c>
      <c r="H15" t="s">
        <v>34</v>
      </c>
      <c r="I15" t="s">
        <v>84</v>
      </c>
      <c r="J15" t="s">
        <v>106</v>
      </c>
      <c r="K15" t="s">
        <v>107</v>
      </c>
    </row>
    <row r="16" spans="1:11" x14ac:dyDescent="0.3">
      <c r="A16">
        <v>39</v>
      </c>
      <c r="B16" t="s">
        <v>1191</v>
      </c>
      <c r="C16" t="s">
        <v>16</v>
      </c>
      <c r="D16" t="s">
        <v>75</v>
      </c>
      <c r="E16" t="s">
        <v>76</v>
      </c>
      <c r="F16">
        <v>1924</v>
      </c>
      <c r="G16" t="s">
        <v>20</v>
      </c>
      <c r="H16" t="s">
        <v>40</v>
      </c>
      <c r="I16" t="s">
        <v>84</v>
      </c>
      <c r="J16" t="s">
        <v>105</v>
      </c>
      <c r="K16" t="s">
        <v>1184</v>
      </c>
    </row>
    <row r="17" spans="1:11" x14ac:dyDescent="0.3">
      <c r="A17">
        <v>41</v>
      </c>
      <c r="B17" t="s">
        <v>1192</v>
      </c>
      <c r="C17" t="s">
        <v>16</v>
      </c>
      <c r="D17" t="s">
        <v>75</v>
      </c>
      <c r="E17" t="s">
        <v>76</v>
      </c>
      <c r="F17">
        <v>1948</v>
      </c>
      <c r="G17" t="s">
        <v>20</v>
      </c>
      <c r="H17" t="s">
        <v>27</v>
      </c>
      <c r="I17" t="s">
        <v>114</v>
      </c>
      <c r="J17" t="s">
        <v>115</v>
      </c>
      <c r="K17" t="s">
        <v>107</v>
      </c>
    </row>
    <row r="18" spans="1:11" x14ac:dyDescent="0.3">
      <c r="A18">
        <v>42</v>
      </c>
      <c r="B18" t="s">
        <v>1192</v>
      </c>
      <c r="C18" t="s">
        <v>16</v>
      </c>
      <c r="D18" t="s">
        <v>75</v>
      </c>
      <c r="E18" t="s">
        <v>76</v>
      </c>
      <c r="F18">
        <v>1948</v>
      </c>
      <c r="G18" t="s">
        <v>20</v>
      </c>
      <c r="H18" t="s">
        <v>27</v>
      </c>
      <c r="I18" t="s">
        <v>114</v>
      </c>
      <c r="J18" t="s">
        <v>116</v>
      </c>
      <c r="K18" t="s">
        <v>43</v>
      </c>
    </row>
    <row r="19" spans="1:11" x14ac:dyDescent="0.3">
      <c r="A19">
        <v>43</v>
      </c>
      <c r="B19" t="s">
        <v>1192</v>
      </c>
      <c r="C19" t="s">
        <v>16</v>
      </c>
      <c r="D19" t="s">
        <v>75</v>
      </c>
      <c r="E19" t="s">
        <v>76</v>
      </c>
      <c r="F19">
        <v>1948</v>
      </c>
      <c r="G19" t="s">
        <v>20</v>
      </c>
      <c r="H19" t="s">
        <v>27</v>
      </c>
      <c r="I19" t="s">
        <v>114</v>
      </c>
      <c r="J19" t="s">
        <v>117</v>
      </c>
      <c r="K19" t="s">
        <v>1184</v>
      </c>
    </row>
    <row r="20" spans="1:11" x14ac:dyDescent="0.3">
      <c r="A20">
        <v>44</v>
      </c>
      <c r="B20" t="s">
        <v>1192</v>
      </c>
      <c r="C20" t="s">
        <v>16</v>
      </c>
      <c r="D20" t="s">
        <v>75</v>
      </c>
      <c r="E20" t="s">
        <v>76</v>
      </c>
      <c r="F20">
        <v>1948</v>
      </c>
      <c r="G20" t="s">
        <v>20</v>
      </c>
      <c r="H20" t="s">
        <v>27</v>
      </c>
      <c r="I20" t="s">
        <v>114</v>
      </c>
      <c r="J20" t="s">
        <v>118</v>
      </c>
      <c r="K20" t="s">
        <v>43</v>
      </c>
    </row>
    <row r="21" spans="1:11" x14ac:dyDescent="0.3">
      <c r="A21">
        <v>45</v>
      </c>
      <c r="B21" t="s">
        <v>1192</v>
      </c>
      <c r="C21" t="s">
        <v>16</v>
      </c>
      <c r="D21" t="s">
        <v>75</v>
      </c>
      <c r="E21" t="s">
        <v>76</v>
      </c>
      <c r="F21">
        <v>1948</v>
      </c>
      <c r="G21" t="s">
        <v>20</v>
      </c>
      <c r="H21" t="s">
        <v>27</v>
      </c>
      <c r="I21" t="s">
        <v>114</v>
      </c>
      <c r="J21" t="s">
        <v>119</v>
      </c>
      <c r="K21" t="s">
        <v>1184</v>
      </c>
    </row>
    <row r="22" spans="1:11" x14ac:dyDescent="0.3">
      <c r="A22">
        <v>46</v>
      </c>
      <c r="B22" t="s">
        <v>1192</v>
      </c>
      <c r="C22" t="s">
        <v>16</v>
      </c>
      <c r="D22" t="s">
        <v>75</v>
      </c>
      <c r="E22" t="s">
        <v>76</v>
      </c>
      <c r="F22">
        <v>1948</v>
      </c>
      <c r="G22" t="s">
        <v>20</v>
      </c>
      <c r="H22" t="s">
        <v>27</v>
      </c>
      <c r="I22" t="s">
        <v>114</v>
      </c>
      <c r="J22" t="s">
        <v>120</v>
      </c>
      <c r="K22" t="s">
        <v>1184</v>
      </c>
    </row>
    <row r="23" spans="1:11" x14ac:dyDescent="0.3">
      <c r="A23">
        <v>47</v>
      </c>
      <c r="B23" t="s">
        <v>1192</v>
      </c>
      <c r="C23" t="s">
        <v>16</v>
      </c>
      <c r="D23" t="s">
        <v>75</v>
      </c>
      <c r="E23" t="s">
        <v>76</v>
      </c>
      <c r="F23">
        <v>1948</v>
      </c>
      <c r="G23" t="s">
        <v>20</v>
      </c>
      <c r="H23" t="s">
        <v>27</v>
      </c>
      <c r="I23" t="s">
        <v>114</v>
      </c>
      <c r="J23" t="s">
        <v>121</v>
      </c>
      <c r="K23" t="s">
        <v>1184</v>
      </c>
    </row>
    <row r="24" spans="1:11" x14ac:dyDescent="0.3">
      <c r="A24">
        <v>48</v>
      </c>
      <c r="B24" t="s">
        <v>1192</v>
      </c>
      <c r="C24" t="s">
        <v>16</v>
      </c>
      <c r="D24" t="s">
        <v>75</v>
      </c>
      <c r="E24" t="s">
        <v>76</v>
      </c>
      <c r="F24">
        <v>1948</v>
      </c>
      <c r="G24" t="s">
        <v>20</v>
      </c>
      <c r="H24" t="s">
        <v>27</v>
      </c>
      <c r="I24" t="s">
        <v>114</v>
      </c>
      <c r="J24" t="s">
        <v>122</v>
      </c>
      <c r="K24" t="s">
        <v>43</v>
      </c>
    </row>
    <row r="25" spans="1:11" x14ac:dyDescent="0.3">
      <c r="A25">
        <v>49</v>
      </c>
      <c r="B25" t="s">
        <v>1192</v>
      </c>
      <c r="C25" t="s">
        <v>16</v>
      </c>
      <c r="D25" t="s">
        <v>75</v>
      </c>
      <c r="E25" t="s">
        <v>76</v>
      </c>
      <c r="F25">
        <v>1952</v>
      </c>
      <c r="G25" t="s">
        <v>20</v>
      </c>
      <c r="H25" t="s">
        <v>83</v>
      </c>
      <c r="I25" t="s">
        <v>114</v>
      </c>
      <c r="J25" t="s">
        <v>115</v>
      </c>
      <c r="K25" t="s">
        <v>1184</v>
      </c>
    </row>
    <row r="26" spans="1:11" x14ac:dyDescent="0.3">
      <c r="A26">
        <v>50</v>
      </c>
      <c r="B26" t="s">
        <v>1192</v>
      </c>
      <c r="C26" t="s">
        <v>16</v>
      </c>
      <c r="D26" t="s">
        <v>75</v>
      </c>
      <c r="E26" t="s">
        <v>76</v>
      </c>
      <c r="F26">
        <v>1952</v>
      </c>
      <c r="G26" t="s">
        <v>20</v>
      </c>
      <c r="H26" t="s">
        <v>83</v>
      </c>
      <c r="I26" t="s">
        <v>114</v>
      </c>
      <c r="J26" t="s">
        <v>116</v>
      </c>
      <c r="K26" t="s">
        <v>107</v>
      </c>
    </row>
    <row r="27" spans="1:11" x14ac:dyDescent="0.3">
      <c r="A27">
        <v>51</v>
      </c>
      <c r="B27" t="s">
        <v>1192</v>
      </c>
      <c r="C27" t="s">
        <v>16</v>
      </c>
      <c r="D27" t="s">
        <v>75</v>
      </c>
      <c r="E27" t="s">
        <v>76</v>
      </c>
      <c r="F27">
        <v>1952</v>
      </c>
      <c r="G27" t="s">
        <v>20</v>
      </c>
      <c r="H27" t="s">
        <v>83</v>
      </c>
      <c r="I27" t="s">
        <v>114</v>
      </c>
      <c r="J27" t="s">
        <v>117</v>
      </c>
      <c r="K27" t="s">
        <v>1184</v>
      </c>
    </row>
    <row r="28" spans="1:11" x14ac:dyDescent="0.3">
      <c r="A28">
        <v>52</v>
      </c>
      <c r="B28" t="s">
        <v>1192</v>
      </c>
      <c r="C28" t="s">
        <v>16</v>
      </c>
      <c r="D28" t="s">
        <v>75</v>
      </c>
      <c r="E28" t="s">
        <v>76</v>
      </c>
      <c r="F28">
        <v>1952</v>
      </c>
      <c r="G28" t="s">
        <v>20</v>
      </c>
      <c r="H28" t="s">
        <v>83</v>
      </c>
      <c r="I28" t="s">
        <v>114</v>
      </c>
      <c r="J28" t="s">
        <v>118</v>
      </c>
      <c r="K28" t="s">
        <v>1184</v>
      </c>
    </row>
    <row r="29" spans="1:11" x14ac:dyDescent="0.3">
      <c r="A29">
        <v>53</v>
      </c>
      <c r="B29" t="s">
        <v>1192</v>
      </c>
      <c r="C29" t="s">
        <v>16</v>
      </c>
      <c r="D29" t="s">
        <v>75</v>
      </c>
      <c r="E29" t="s">
        <v>76</v>
      </c>
      <c r="F29">
        <v>1952</v>
      </c>
      <c r="G29" t="s">
        <v>20</v>
      </c>
      <c r="H29" t="s">
        <v>83</v>
      </c>
      <c r="I29" t="s">
        <v>114</v>
      </c>
      <c r="J29" t="s">
        <v>119</v>
      </c>
      <c r="K29" t="s">
        <v>1184</v>
      </c>
    </row>
    <row r="30" spans="1:11" x14ac:dyDescent="0.3">
      <c r="A30">
        <v>54</v>
      </c>
      <c r="B30" t="s">
        <v>1192</v>
      </c>
      <c r="C30" t="s">
        <v>16</v>
      </c>
      <c r="D30" t="s">
        <v>75</v>
      </c>
      <c r="E30" t="s">
        <v>76</v>
      </c>
      <c r="F30">
        <v>1952</v>
      </c>
      <c r="G30" t="s">
        <v>20</v>
      </c>
      <c r="H30" t="s">
        <v>83</v>
      </c>
      <c r="I30" t="s">
        <v>114</v>
      </c>
      <c r="J30" t="s">
        <v>120</v>
      </c>
      <c r="K30" t="s">
        <v>1184</v>
      </c>
    </row>
    <row r="31" spans="1:11" x14ac:dyDescent="0.3">
      <c r="A31">
        <v>55</v>
      </c>
      <c r="B31" t="s">
        <v>1192</v>
      </c>
      <c r="C31" t="s">
        <v>16</v>
      </c>
      <c r="D31" t="s">
        <v>75</v>
      </c>
      <c r="E31" t="s">
        <v>76</v>
      </c>
      <c r="F31">
        <v>1952</v>
      </c>
      <c r="G31" t="s">
        <v>20</v>
      </c>
      <c r="H31" t="s">
        <v>83</v>
      </c>
      <c r="I31" t="s">
        <v>114</v>
      </c>
      <c r="J31" t="s">
        <v>121</v>
      </c>
      <c r="K31" t="s">
        <v>1184</v>
      </c>
    </row>
    <row r="32" spans="1:11" x14ac:dyDescent="0.3">
      <c r="A32">
        <v>56</v>
      </c>
      <c r="B32" t="s">
        <v>1192</v>
      </c>
      <c r="C32" t="s">
        <v>16</v>
      </c>
      <c r="D32" t="s">
        <v>75</v>
      </c>
      <c r="E32" t="s">
        <v>76</v>
      </c>
      <c r="F32">
        <v>1952</v>
      </c>
      <c r="G32" t="s">
        <v>20</v>
      </c>
      <c r="H32" t="s">
        <v>83</v>
      </c>
      <c r="I32" t="s">
        <v>114</v>
      </c>
      <c r="J32" t="s">
        <v>122</v>
      </c>
      <c r="K32" t="s">
        <v>1184</v>
      </c>
    </row>
    <row r="33" spans="1:11" x14ac:dyDescent="0.3">
      <c r="A33">
        <v>57</v>
      </c>
      <c r="B33" t="s">
        <v>1193</v>
      </c>
      <c r="C33" t="s">
        <v>16</v>
      </c>
      <c r="D33" t="s">
        <v>75</v>
      </c>
      <c r="E33" t="s">
        <v>76</v>
      </c>
      <c r="F33">
        <v>2000</v>
      </c>
      <c r="G33" t="s">
        <v>20</v>
      </c>
      <c r="H33" t="s">
        <v>91</v>
      </c>
      <c r="I33" t="s">
        <v>71</v>
      </c>
      <c r="J33" t="s">
        <v>124</v>
      </c>
      <c r="K33" t="s">
        <v>1184</v>
      </c>
    </row>
    <row r="34" spans="1:11" x14ac:dyDescent="0.3">
      <c r="A34">
        <v>58</v>
      </c>
      <c r="B34" t="s">
        <v>1194</v>
      </c>
      <c r="C34" t="s">
        <v>16</v>
      </c>
      <c r="D34" t="s">
        <v>75</v>
      </c>
      <c r="E34" t="s">
        <v>76</v>
      </c>
      <c r="F34">
        <v>1948</v>
      </c>
      <c r="G34" t="s">
        <v>20</v>
      </c>
      <c r="H34" t="s">
        <v>27</v>
      </c>
      <c r="I34" t="s">
        <v>126</v>
      </c>
      <c r="J34" t="s">
        <v>127</v>
      </c>
      <c r="K34" t="s">
        <v>1184</v>
      </c>
    </row>
    <row r="35" spans="1:11" x14ac:dyDescent="0.3">
      <c r="A35">
        <v>79</v>
      </c>
      <c r="B35" t="s">
        <v>1195</v>
      </c>
      <c r="C35" t="s">
        <v>45</v>
      </c>
      <c r="D35" t="s">
        <v>129</v>
      </c>
      <c r="E35" t="s">
        <v>130</v>
      </c>
      <c r="F35">
        <v>2008</v>
      </c>
      <c r="G35" t="s">
        <v>20</v>
      </c>
      <c r="H35" t="s">
        <v>144</v>
      </c>
      <c r="I35" t="s">
        <v>145</v>
      </c>
      <c r="J35" t="s">
        <v>146</v>
      </c>
      <c r="K35" t="s">
        <v>43</v>
      </c>
    </row>
    <row r="36" spans="1:11" x14ac:dyDescent="0.3">
      <c r="A36">
        <v>80</v>
      </c>
      <c r="B36" t="s">
        <v>147</v>
      </c>
      <c r="C36" t="s">
        <v>45</v>
      </c>
      <c r="D36" t="s">
        <v>148</v>
      </c>
      <c r="E36" t="s">
        <v>149</v>
      </c>
      <c r="F36">
        <v>2016</v>
      </c>
      <c r="G36" t="s">
        <v>20</v>
      </c>
      <c r="H36" t="s">
        <v>151</v>
      </c>
      <c r="I36" t="s">
        <v>152</v>
      </c>
      <c r="J36" t="s">
        <v>153</v>
      </c>
      <c r="K36" t="s">
        <v>1184</v>
      </c>
    </row>
    <row r="37" spans="1:11" x14ac:dyDescent="0.3">
      <c r="A37">
        <v>81</v>
      </c>
      <c r="B37" t="s">
        <v>154</v>
      </c>
      <c r="C37" t="s">
        <v>16</v>
      </c>
      <c r="D37" t="s">
        <v>129</v>
      </c>
      <c r="E37" t="s">
        <v>130</v>
      </c>
      <c r="F37">
        <v>2000</v>
      </c>
      <c r="G37" t="s">
        <v>20</v>
      </c>
      <c r="H37" t="s">
        <v>91</v>
      </c>
      <c r="I37" t="s">
        <v>155</v>
      </c>
      <c r="J37" t="s">
        <v>156</v>
      </c>
      <c r="K37" t="s">
        <v>1184</v>
      </c>
    </row>
    <row r="38" spans="1:11" x14ac:dyDescent="0.3">
      <c r="A38">
        <v>82</v>
      </c>
      <c r="B38" t="s">
        <v>154</v>
      </c>
      <c r="C38" t="s">
        <v>16</v>
      </c>
      <c r="D38" t="s">
        <v>129</v>
      </c>
      <c r="E38" t="s">
        <v>130</v>
      </c>
      <c r="F38">
        <v>2004</v>
      </c>
      <c r="G38" t="s">
        <v>20</v>
      </c>
      <c r="H38" t="s">
        <v>158</v>
      </c>
      <c r="I38" t="s">
        <v>155</v>
      </c>
      <c r="J38" t="s">
        <v>156</v>
      </c>
      <c r="K38" t="s">
        <v>1184</v>
      </c>
    </row>
    <row r="39" spans="1:11" x14ac:dyDescent="0.3">
      <c r="A39">
        <v>86</v>
      </c>
      <c r="B39" t="s">
        <v>1196</v>
      </c>
      <c r="C39" t="s">
        <v>16</v>
      </c>
      <c r="D39" t="s">
        <v>129</v>
      </c>
      <c r="E39" t="s">
        <v>130</v>
      </c>
      <c r="F39">
        <v>1920</v>
      </c>
      <c r="G39" t="s">
        <v>20</v>
      </c>
      <c r="H39" t="s">
        <v>34</v>
      </c>
      <c r="I39" t="s">
        <v>114</v>
      </c>
      <c r="J39" t="s">
        <v>167</v>
      </c>
      <c r="K39" t="s">
        <v>136</v>
      </c>
    </row>
    <row r="40" spans="1:11" x14ac:dyDescent="0.3">
      <c r="A40">
        <v>88</v>
      </c>
      <c r="B40" t="s">
        <v>173</v>
      </c>
      <c r="C40" t="s">
        <v>16</v>
      </c>
      <c r="D40" t="s">
        <v>46</v>
      </c>
      <c r="E40" t="s">
        <v>47</v>
      </c>
      <c r="F40">
        <v>1984</v>
      </c>
      <c r="G40" t="s">
        <v>20</v>
      </c>
      <c r="H40" t="s">
        <v>70</v>
      </c>
      <c r="I40" t="s">
        <v>175</v>
      </c>
      <c r="J40" t="s">
        <v>176</v>
      </c>
      <c r="K40" t="s">
        <v>1184</v>
      </c>
    </row>
    <row r="41" spans="1:11" x14ac:dyDescent="0.3">
      <c r="A41">
        <v>89</v>
      </c>
      <c r="B41" t="s">
        <v>177</v>
      </c>
      <c r="C41" t="s">
        <v>16</v>
      </c>
      <c r="D41" t="s">
        <v>129</v>
      </c>
      <c r="E41" t="s">
        <v>130</v>
      </c>
      <c r="F41">
        <v>1968</v>
      </c>
      <c r="G41" t="s">
        <v>20</v>
      </c>
      <c r="H41" t="s">
        <v>179</v>
      </c>
      <c r="I41" t="s">
        <v>97</v>
      </c>
      <c r="J41" t="s">
        <v>180</v>
      </c>
      <c r="K41" t="s">
        <v>1184</v>
      </c>
    </row>
    <row r="42" spans="1:11" x14ac:dyDescent="0.3">
      <c r="A42">
        <v>90</v>
      </c>
      <c r="B42" t="s">
        <v>177</v>
      </c>
      <c r="C42" t="s">
        <v>16</v>
      </c>
      <c r="D42" t="s">
        <v>129</v>
      </c>
      <c r="E42" t="s">
        <v>130</v>
      </c>
      <c r="F42">
        <v>1972</v>
      </c>
      <c r="G42" t="s">
        <v>20</v>
      </c>
      <c r="H42" t="s">
        <v>182</v>
      </c>
      <c r="I42" t="s">
        <v>97</v>
      </c>
      <c r="J42" t="s">
        <v>180</v>
      </c>
      <c r="K42" t="s">
        <v>1184</v>
      </c>
    </row>
    <row r="43" spans="1:11" x14ac:dyDescent="0.3">
      <c r="A43">
        <v>91</v>
      </c>
      <c r="B43" t="s">
        <v>183</v>
      </c>
      <c r="C43" t="s">
        <v>45</v>
      </c>
      <c r="D43" t="s">
        <v>46</v>
      </c>
      <c r="E43" t="s">
        <v>47</v>
      </c>
      <c r="F43">
        <v>1988</v>
      </c>
      <c r="G43" t="s">
        <v>20</v>
      </c>
      <c r="H43" t="s">
        <v>185</v>
      </c>
      <c r="I43" t="s">
        <v>186</v>
      </c>
      <c r="J43" t="s">
        <v>187</v>
      </c>
      <c r="K43" t="s">
        <v>107</v>
      </c>
    </row>
    <row r="44" spans="1:11" x14ac:dyDescent="0.3">
      <c r="A44">
        <v>92</v>
      </c>
      <c r="B44" t="s">
        <v>188</v>
      </c>
      <c r="C44" t="s">
        <v>16</v>
      </c>
      <c r="D44" t="s">
        <v>46</v>
      </c>
      <c r="E44" t="s">
        <v>47</v>
      </c>
      <c r="F44">
        <v>1996</v>
      </c>
      <c r="G44" t="s">
        <v>20</v>
      </c>
      <c r="H44" t="s">
        <v>96</v>
      </c>
      <c r="I44" t="s">
        <v>189</v>
      </c>
      <c r="J44" t="s">
        <v>190</v>
      </c>
      <c r="K44" t="s">
        <v>136</v>
      </c>
    </row>
    <row r="45" spans="1:11" x14ac:dyDescent="0.3">
      <c r="A45">
        <v>93</v>
      </c>
      <c r="B45" t="s">
        <v>188</v>
      </c>
      <c r="C45" t="s">
        <v>16</v>
      </c>
      <c r="D45" t="s">
        <v>46</v>
      </c>
      <c r="E45" t="s">
        <v>47</v>
      </c>
      <c r="F45">
        <v>2000</v>
      </c>
      <c r="G45" t="s">
        <v>20</v>
      </c>
      <c r="H45" t="s">
        <v>91</v>
      </c>
      <c r="I45" t="s">
        <v>189</v>
      </c>
      <c r="J45" t="s">
        <v>190</v>
      </c>
      <c r="K45" t="s">
        <v>1184</v>
      </c>
    </row>
    <row r="46" spans="1:11" x14ac:dyDescent="0.3">
      <c r="A46">
        <v>94</v>
      </c>
      <c r="B46" t="s">
        <v>1197</v>
      </c>
      <c r="C46" t="s">
        <v>16</v>
      </c>
      <c r="D46" t="s">
        <v>192</v>
      </c>
      <c r="E46" t="s">
        <v>193</v>
      </c>
      <c r="F46">
        <v>1936</v>
      </c>
      <c r="G46" t="s">
        <v>20</v>
      </c>
      <c r="H46" t="s">
        <v>195</v>
      </c>
      <c r="I46" t="s">
        <v>71</v>
      </c>
      <c r="J46" t="s">
        <v>196</v>
      </c>
      <c r="K46" t="s">
        <v>1184</v>
      </c>
    </row>
    <row r="47" spans="1:11" x14ac:dyDescent="0.3">
      <c r="A47">
        <v>95</v>
      </c>
      <c r="B47" t="s">
        <v>1198</v>
      </c>
      <c r="C47" t="s">
        <v>16</v>
      </c>
      <c r="D47" t="s">
        <v>129</v>
      </c>
      <c r="E47" t="s">
        <v>130</v>
      </c>
      <c r="F47">
        <v>1912</v>
      </c>
      <c r="G47" t="s">
        <v>20</v>
      </c>
      <c r="H47" t="s">
        <v>104</v>
      </c>
      <c r="I47" t="s">
        <v>71</v>
      </c>
      <c r="J47" t="s">
        <v>198</v>
      </c>
      <c r="K47" t="s">
        <v>1184</v>
      </c>
    </row>
    <row r="48" spans="1:11" x14ac:dyDescent="0.3">
      <c r="A48">
        <v>96</v>
      </c>
      <c r="B48" t="s">
        <v>1199</v>
      </c>
      <c r="C48" t="s">
        <v>16</v>
      </c>
      <c r="D48" t="s">
        <v>75</v>
      </c>
      <c r="E48" t="s">
        <v>76</v>
      </c>
      <c r="F48">
        <v>1992</v>
      </c>
      <c r="G48" t="s">
        <v>20</v>
      </c>
      <c r="H48" t="s">
        <v>21</v>
      </c>
      <c r="I48" t="s">
        <v>97</v>
      </c>
      <c r="J48" t="s">
        <v>200</v>
      </c>
      <c r="K48" t="s">
        <v>1184</v>
      </c>
    </row>
    <row r="49" spans="1:11" x14ac:dyDescent="0.3">
      <c r="A49">
        <v>97</v>
      </c>
      <c r="B49" t="s">
        <v>1199</v>
      </c>
      <c r="C49" t="s">
        <v>16</v>
      </c>
      <c r="D49" t="s">
        <v>75</v>
      </c>
      <c r="E49" t="s">
        <v>76</v>
      </c>
      <c r="F49">
        <v>1996</v>
      </c>
      <c r="G49" t="s">
        <v>20</v>
      </c>
      <c r="H49" t="s">
        <v>96</v>
      </c>
      <c r="I49" t="s">
        <v>97</v>
      </c>
      <c r="J49" t="s">
        <v>200</v>
      </c>
      <c r="K49" t="s">
        <v>1184</v>
      </c>
    </row>
    <row r="50" spans="1:11" x14ac:dyDescent="0.3">
      <c r="A50">
        <v>98</v>
      </c>
      <c r="B50" t="s">
        <v>1200</v>
      </c>
      <c r="C50" t="s">
        <v>16</v>
      </c>
      <c r="D50" t="s">
        <v>202</v>
      </c>
      <c r="E50" t="s">
        <v>203</v>
      </c>
      <c r="F50">
        <v>2012</v>
      </c>
      <c r="G50" t="s">
        <v>20</v>
      </c>
      <c r="H50" t="s">
        <v>27</v>
      </c>
      <c r="I50" t="s">
        <v>71</v>
      </c>
      <c r="J50" t="s">
        <v>204</v>
      </c>
      <c r="K50" t="s">
        <v>1184</v>
      </c>
    </row>
    <row r="51" spans="1:11" x14ac:dyDescent="0.3">
      <c r="A51">
        <v>100</v>
      </c>
      <c r="B51" t="s">
        <v>1201</v>
      </c>
      <c r="C51" t="s">
        <v>16</v>
      </c>
      <c r="D51" t="s">
        <v>46</v>
      </c>
      <c r="E51" t="s">
        <v>47</v>
      </c>
      <c r="F51">
        <v>1996</v>
      </c>
      <c r="G51" t="s">
        <v>20</v>
      </c>
      <c r="H51" t="s">
        <v>96</v>
      </c>
      <c r="I51" t="s">
        <v>84</v>
      </c>
      <c r="J51" t="s">
        <v>1202</v>
      </c>
      <c r="K51" t="s">
        <v>1184</v>
      </c>
    </row>
    <row r="52" spans="1:11" x14ac:dyDescent="0.3">
      <c r="A52">
        <v>101</v>
      </c>
      <c r="B52" t="s">
        <v>1201</v>
      </c>
      <c r="C52" t="s">
        <v>16</v>
      </c>
      <c r="D52" t="s">
        <v>46</v>
      </c>
      <c r="E52" t="s">
        <v>47</v>
      </c>
      <c r="F52">
        <v>1996</v>
      </c>
      <c r="G52" t="s">
        <v>20</v>
      </c>
      <c r="H52" t="s">
        <v>96</v>
      </c>
      <c r="I52" t="s">
        <v>84</v>
      </c>
      <c r="J52" t="s">
        <v>1203</v>
      </c>
      <c r="K52" t="s">
        <v>1184</v>
      </c>
    </row>
    <row r="53" spans="1:11" x14ac:dyDescent="0.3">
      <c r="A53">
        <v>102</v>
      </c>
      <c r="B53" t="s">
        <v>1201</v>
      </c>
      <c r="C53" t="s">
        <v>16</v>
      </c>
      <c r="D53" t="s">
        <v>46</v>
      </c>
      <c r="E53" t="s">
        <v>47</v>
      </c>
      <c r="F53">
        <v>1996</v>
      </c>
      <c r="G53" t="s">
        <v>20</v>
      </c>
      <c r="H53" t="s">
        <v>96</v>
      </c>
      <c r="I53" t="s">
        <v>84</v>
      </c>
      <c r="J53" t="s">
        <v>1204</v>
      </c>
      <c r="K53" t="s">
        <v>1184</v>
      </c>
    </row>
    <row r="54" spans="1:11" x14ac:dyDescent="0.3">
      <c r="A54">
        <v>103</v>
      </c>
      <c r="B54" t="s">
        <v>1201</v>
      </c>
      <c r="C54" t="s">
        <v>16</v>
      </c>
      <c r="D54" t="s">
        <v>46</v>
      </c>
      <c r="E54" t="s">
        <v>47</v>
      </c>
      <c r="F54">
        <v>2000</v>
      </c>
      <c r="G54" t="s">
        <v>20</v>
      </c>
      <c r="H54" t="s">
        <v>91</v>
      </c>
      <c r="I54" t="s">
        <v>84</v>
      </c>
      <c r="J54" t="s">
        <v>1202</v>
      </c>
      <c r="K54" t="s">
        <v>1184</v>
      </c>
    </row>
    <row r="55" spans="1:11" x14ac:dyDescent="0.3">
      <c r="A55">
        <v>104</v>
      </c>
      <c r="B55" t="s">
        <v>1201</v>
      </c>
      <c r="C55" t="s">
        <v>16</v>
      </c>
      <c r="D55" t="s">
        <v>46</v>
      </c>
      <c r="E55" t="s">
        <v>47</v>
      </c>
      <c r="F55">
        <v>2000</v>
      </c>
      <c r="G55" t="s">
        <v>20</v>
      </c>
      <c r="H55" t="s">
        <v>91</v>
      </c>
      <c r="I55" t="s">
        <v>84</v>
      </c>
      <c r="J55" t="s">
        <v>1203</v>
      </c>
      <c r="K55" t="s">
        <v>1184</v>
      </c>
    </row>
    <row r="56" spans="1:11" x14ac:dyDescent="0.3">
      <c r="A56">
        <v>105</v>
      </c>
      <c r="B56" t="s">
        <v>1205</v>
      </c>
      <c r="C56" t="s">
        <v>45</v>
      </c>
      <c r="D56" t="s">
        <v>129</v>
      </c>
      <c r="E56" t="s">
        <v>130</v>
      </c>
      <c r="F56">
        <v>1996</v>
      </c>
      <c r="G56" t="s">
        <v>20</v>
      </c>
      <c r="H56" t="s">
        <v>96</v>
      </c>
      <c r="I56" t="s">
        <v>35</v>
      </c>
      <c r="J56" t="s">
        <v>1206</v>
      </c>
      <c r="K56" t="s">
        <v>107</v>
      </c>
    </row>
    <row r="57" spans="1:11" x14ac:dyDescent="0.3">
      <c r="A57">
        <v>106</v>
      </c>
      <c r="B57" t="s">
        <v>1207</v>
      </c>
      <c r="C57" t="s">
        <v>16</v>
      </c>
      <c r="D57" t="s">
        <v>129</v>
      </c>
      <c r="E57" t="s">
        <v>130</v>
      </c>
      <c r="F57">
        <v>1920</v>
      </c>
      <c r="G57" t="s">
        <v>20</v>
      </c>
      <c r="H57" t="s">
        <v>34</v>
      </c>
      <c r="I57" t="s">
        <v>114</v>
      </c>
      <c r="J57" t="s">
        <v>167</v>
      </c>
      <c r="K57" t="s">
        <v>136</v>
      </c>
    </row>
    <row r="58" spans="1:11" x14ac:dyDescent="0.3">
      <c r="A58">
        <v>107</v>
      </c>
      <c r="B58" t="s">
        <v>1208</v>
      </c>
      <c r="C58" t="s">
        <v>16</v>
      </c>
      <c r="D58" t="s">
        <v>129</v>
      </c>
      <c r="E58" t="s">
        <v>130</v>
      </c>
      <c r="F58">
        <v>1912</v>
      </c>
      <c r="G58" t="s">
        <v>20</v>
      </c>
      <c r="H58" t="s">
        <v>104</v>
      </c>
      <c r="I58" t="s">
        <v>242</v>
      </c>
      <c r="J58" t="s">
        <v>1209</v>
      </c>
      <c r="K58" t="s">
        <v>1184</v>
      </c>
    </row>
    <row r="59" spans="1:11" x14ac:dyDescent="0.3">
      <c r="A59">
        <v>108</v>
      </c>
      <c r="B59" t="s">
        <v>1208</v>
      </c>
      <c r="C59" t="s">
        <v>16</v>
      </c>
      <c r="D59" t="s">
        <v>129</v>
      </c>
      <c r="E59" t="s">
        <v>130</v>
      </c>
      <c r="F59">
        <v>1912</v>
      </c>
      <c r="G59" t="s">
        <v>20</v>
      </c>
      <c r="H59" t="s">
        <v>104</v>
      </c>
      <c r="I59" t="s">
        <v>242</v>
      </c>
      <c r="J59" t="s">
        <v>1210</v>
      </c>
      <c r="K59" t="s">
        <v>1184</v>
      </c>
    </row>
    <row r="60" spans="1:11" x14ac:dyDescent="0.3">
      <c r="A60">
        <v>109</v>
      </c>
      <c r="B60" t="s">
        <v>1208</v>
      </c>
      <c r="C60" t="s">
        <v>16</v>
      </c>
      <c r="D60" t="s">
        <v>129</v>
      </c>
      <c r="E60" t="s">
        <v>130</v>
      </c>
      <c r="F60">
        <v>1912</v>
      </c>
      <c r="G60" t="s">
        <v>20</v>
      </c>
      <c r="H60" t="s">
        <v>104</v>
      </c>
      <c r="I60" t="s">
        <v>242</v>
      </c>
      <c r="J60" t="s">
        <v>1211</v>
      </c>
      <c r="K60" t="s">
        <v>1184</v>
      </c>
    </row>
    <row r="61" spans="1:11" x14ac:dyDescent="0.3">
      <c r="A61">
        <v>116</v>
      </c>
      <c r="B61" t="s">
        <v>1212</v>
      </c>
      <c r="C61" t="s">
        <v>16</v>
      </c>
      <c r="D61" t="s">
        <v>129</v>
      </c>
      <c r="E61" t="s">
        <v>130</v>
      </c>
      <c r="F61">
        <v>1920</v>
      </c>
      <c r="G61" t="s">
        <v>20</v>
      </c>
      <c r="H61" t="s">
        <v>34</v>
      </c>
      <c r="I61" t="s">
        <v>35</v>
      </c>
      <c r="J61" t="s">
        <v>36</v>
      </c>
      <c r="K61" t="s">
        <v>1184</v>
      </c>
    </row>
    <row r="62" spans="1:11" x14ac:dyDescent="0.3">
      <c r="A62">
        <v>117</v>
      </c>
      <c r="B62" t="s">
        <v>1213</v>
      </c>
      <c r="C62" t="s">
        <v>16</v>
      </c>
      <c r="D62" t="s">
        <v>1214</v>
      </c>
      <c r="E62" t="s">
        <v>130</v>
      </c>
      <c r="F62">
        <v>1912</v>
      </c>
      <c r="G62" t="s">
        <v>20</v>
      </c>
      <c r="H62" t="s">
        <v>104</v>
      </c>
      <c r="I62" t="s">
        <v>97</v>
      </c>
      <c r="J62" t="s">
        <v>1215</v>
      </c>
      <c r="K62" t="s">
        <v>43</v>
      </c>
    </row>
    <row r="63" spans="1:11" x14ac:dyDescent="0.3">
      <c r="A63">
        <v>118</v>
      </c>
      <c r="B63" t="s">
        <v>1216</v>
      </c>
      <c r="C63" t="s">
        <v>16</v>
      </c>
      <c r="D63" t="s">
        <v>129</v>
      </c>
      <c r="E63" t="s">
        <v>130</v>
      </c>
      <c r="F63">
        <v>1992</v>
      </c>
      <c r="G63" t="s">
        <v>20</v>
      </c>
      <c r="H63" t="s">
        <v>21</v>
      </c>
      <c r="I63" t="s">
        <v>1217</v>
      </c>
      <c r="J63" t="s">
        <v>1218</v>
      </c>
      <c r="K63" t="s">
        <v>1184</v>
      </c>
    </row>
    <row r="64" spans="1:11" x14ac:dyDescent="0.3">
      <c r="A64">
        <v>124</v>
      </c>
      <c r="B64" t="s">
        <v>1219</v>
      </c>
      <c r="C64" t="s">
        <v>16</v>
      </c>
      <c r="D64" t="s">
        <v>129</v>
      </c>
      <c r="E64" t="s">
        <v>130</v>
      </c>
      <c r="F64">
        <v>1936</v>
      </c>
      <c r="G64" t="s">
        <v>20</v>
      </c>
      <c r="H64" t="s">
        <v>195</v>
      </c>
      <c r="I64" t="s">
        <v>1220</v>
      </c>
      <c r="J64" t="s">
        <v>1221</v>
      </c>
      <c r="K64" t="s">
        <v>1184</v>
      </c>
    </row>
    <row r="65" spans="1:11" x14ac:dyDescent="0.3">
      <c r="A65">
        <v>125</v>
      </c>
      <c r="B65" t="s">
        <v>1222</v>
      </c>
      <c r="C65" t="s">
        <v>16</v>
      </c>
      <c r="D65" t="s">
        <v>129</v>
      </c>
      <c r="E65" t="s">
        <v>130</v>
      </c>
      <c r="F65">
        <v>1936</v>
      </c>
      <c r="G65" t="s">
        <v>20</v>
      </c>
      <c r="H65" t="s">
        <v>195</v>
      </c>
      <c r="I65" t="s">
        <v>1220</v>
      </c>
      <c r="J65" t="s">
        <v>1223</v>
      </c>
      <c r="K65" t="s">
        <v>1184</v>
      </c>
    </row>
    <row r="66" spans="1:11" x14ac:dyDescent="0.3">
      <c r="A66">
        <v>126</v>
      </c>
      <c r="B66" t="s">
        <v>1222</v>
      </c>
      <c r="C66" t="s">
        <v>16</v>
      </c>
      <c r="D66" t="s">
        <v>129</v>
      </c>
      <c r="E66" t="s">
        <v>130</v>
      </c>
      <c r="F66">
        <v>1948</v>
      </c>
      <c r="G66" t="s">
        <v>20</v>
      </c>
      <c r="H66" t="s">
        <v>27</v>
      </c>
      <c r="I66" t="s">
        <v>1220</v>
      </c>
      <c r="J66" t="s">
        <v>1223</v>
      </c>
      <c r="K66" t="s">
        <v>1184</v>
      </c>
    </row>
    <row r="67" spans="1:11" x14ac:dyDescent="0.3">
      <c r="A67">
        <v>127</v>
      </c>
      <c r="B67" t="s">
        <v>1222</v>
      </c>
      <c r="C67" t="s">
        <v>16</v>
      </c>
      <c r="D67" t="s">
        <v>129</v>
      </c>
      <c r="E67" t="s">
        <v>130</v>
      </c>
      <c r="F67">
        <v>1952</v>
      </c>
      <c r="G67" t="s">
        <v>20</v>
      </c>
      <c r="H67" t="s">
        <v>83</v>
      </c>
      <c r="I67" t="s">
        <v>1220</v>
      </c>
      <c r="J67" t="s">
        <v>1224</v>
      </c>
      <c r="K67" t="s">
        <v>1184</v>
      </c>
    </row>
    <row r="68" spans="1:11" x14ac:dyDescent="0.3">
      <c r="A68">
        <v>128</v>
      </c>
      <c r="B68" t="s">
        <v>1222</v>
      </c>
      <c r="C68" t="s">
        <v>16</v>
      </c>
      <c r="D68" t="s">
        <v>129</v>
      </c>
      <c r="E68" t="s">
        <v>130</v>
      </c>
      <c r="F68">
        <v>1956</v>
      </c>
      <c r="G68" t="s">
        <v>20</v>
      </c>
      <c r="H68" t="s">
        <v>966</v>
      </c>
      <c r="I68" t="s">
        <v>1220</v>
      </c>
      <c r="J68" t="s">
        <v>1224</v>
      </c>
      <c r="K68" t="s">
        <v>1184</v>
      </c>
    </row>
    <row r="69" spans="1:11" x14ac:dyDescent="0.3">
      <c r="A69">
        <v>129</v>
      </c>
      <c r="B69" t="s">
        <v>1222</v>
      </c>
      <c r="C69" t="s">
        <v>16</v>
      </c>
      <c r="D69" t="s">
        <v>129</v>
      </c>
      <c r="E69" t="s">
        <v>130</v>
      </c>
      <c r="F69">
        <v>1960</v>
      </c>
      <c r="G69" t="s">
        <v>20</v>
      </c>
      <c r="H69" t="s">
        <v>1225</v>
      </c>
      <c r="I69" t="s">
        <v>1220</v>
      </c>
      <c r="J69" t="s">
        <v>1224</v>
      </c>
      <c r="K69" t="s">
        <v>1184</v>
      </c>
    </row>
    <row r="70" spans="1:11" x14ac:dyDescent="0.3">
      <c r="A70">
        <v>130</v>
      </c>
      <c r="B70" t="s">
        <v>1226</v>
      </c>
      <c r="C70" t="s">
        <v>16</v>
      </c>
      <c r="D70" t="s">
        <v>129</v>
      </c>
      <c r="E70" t="s">
        <v>130</v>
      </c>
      <c r="F70">
        <v>1920</v>
      </c>
      <c r="G70" t="s">
        <v>20</v>
      </c>
      <c r="H70" t="s">
        <v>34</v>
      </c>
      <c r="I70" t="s">
        <v>71</v>
      </c>
      <c r="J70" t="s">
        <v>1227</v>
      </c>
      <c r="K70" t="s">
        <v>1184</v>
      </c>
    </row>
    <row r="71" spans="1:11" x14ac:dyDescent="0.3">
      <c r="A71">
        <v>131</v>
      </c>
      <c r="B71" t="s">
        <v>1226</v>
      </c>
      <c r="C71" t="s">
        <v>16</v>
      </c>
      <c r="D71" t="s">
        <v>129</v>
      </c>
      <c r="E71" t="s">
        <v>130</v>
      </c>
      <c r="F71">
        <v>1920</v>
      </c>
      <c r="G71" t="s">
        <v>20</v>
      </c>
      <c r="H71" t="s">
        <v>34</v>
      </c>
      <c r="I71" t="s">
        <v>71</v>
      </c>
      <c r="J71" t="s">
        <v>1228</v>
      </c>
      <c r="K71" t="s">
        <v>1184</v>
      </c>
    </row>
    <row r="72" spans="1:11" x14ac:dyDescent="0.3">
      <c r="A72">
        <v>132</v>
      </c>
      <c r="B72" t="s">
        <v>1226</v>
      </c>
      <c r="C72" t="s">
        <v>16</v>
      </c>
      <c r="D72" t="s">
        <v>129</v>
      </c>
      <c r="E72" t="s">
        <v>130</v>
      </c>
      <c r="F72">
        <v>1924</v>
      </c>
      <c r="G72" t="s">
        <v>20</v>
      </c>
      <c r="H72" t="s">
        <v>40</v>
      </c>
      <c r="I72" t="s">
        <v>71</v>
      </c>
      <c r="J72" t="s">
        <v>1228</v>
      </c>
      <c r="K72" t="s">
        <v>1184</v>
      </c>
    </row>
    <row r="73" spans="1:11" x14ac:dyDescent="0.3">
      <c r="A73">
        <v>133</v>
      </c>
      <c r="B73" t="s">
        <v>1226</v>
      </c>
      <c r="C73" t="s">
        <v>16</v>
      </c>
      <c r="D73" t="s">
        <v>129</v>
      </c>
      <c r="E73" t="s">
        <v>130</v>
      </c>
      <c r="F73">
        <v>1928</v>
      </c>
      <c r="G73" t="s">
        <v>20</v>
      </c>
      <c r="H73" t="s">
        <v>1229</v>
      </c>
      <c r="I73" t="s">
        <v>71</v>
      </c>
      <c r="J73" t="s">
        <v>1228</v>
      </c>
      <c r="K73" t="s">
        <v>1184</v>
      </c>
    </row>
    <row r="74" spans="1:11" x14ac:dyDescent="0.3">
      <c r="A74">
        <v>134</v>
      </c>
      <c r="B74" t="s">
        <v>1230</v>
      </c>
      <c r="C74" t="s">
        <v>16</v>
      </c>
      <c r="D74" t="s">
        <v>1231</v>
      </c>
      <c r="E74" t="s">
        <v>792</v>
      </c>
      <c r="F74">
        <v>2012</v>
      </c>
      <c r="G74" t="s">
        <v>20</v>
      </c>
      <c r="H74" t="s">
        <v>27</v>
      </c>
      <c r="I74" t="s">
        <v>1232</v>
      </c>
      <c r="J74" t="s">
        <v>1233</v>
      </c>
      <c r="K74" t="s">
        <v>1184</v>
      </c>
    </row>
    <row r="75" spans="1:11" x14ac:dyDescent="0.3">
      <c r="A75">
        <v>135</v>
      </c>
      <c r="B75" t="s">
        <v>1234</v>
      </c>
      <c r="C75" t="s">
        <v>45</v>
      </c>
      <c r="D75" t="s">
        <v>192</v>
      </c>
      <c r="E75" t="s">
        <v>193</v>
      </c>
      <c r="F75">
        <v>2004</v>
      </c>
      <c r="G75" t="s">
        <v>20</v>
      </c>
      <c r="H75" t="s">
        <v>158</v>
      </c>
      <c r="I75" t="s">
        <v>71</v>
      </c>
      <c r="J75" t="s">
        <v>1235</v>
      </c>
      <c r="K75" t="s">
        <v>1184</v>
      </c>
    </row>
    <row r="76" spans="1:11" x14ac:dyDescent="0.3">
      <c r="A76">
        <v>136</v>
      </c>
      <c r="B76" t="s">
        <v>1234</v>
      </c>
      <c r="C76" t="s">
        <v>45</v>
      </c>
      <c r="D76" t="s">
        <v>192</v>
      </c>
      <c r="E76" t="s">
        <v>193</v>
      </c>
      <c r="F76">
        <v>2008</v>
      </c>
      <c r="G76" t="s">
        <v>20</v>
      </c>
      <c r="H76" t="s">
        <v>144</v>
      </c>
      <c r="I76" t="s">
        <v>71</v>
      </c>
      <c r="J76" t="s">
        <v>1235</v>
      </c>
      <c r="K76" t="s">
        <v>1184</v>
      </c>
    </row>
    <row r="77" spans="1:11" x14ac:dyDescent="0.3">
      <c r="A77">
        <v>137</v>
      </c>
      <c r="B77" t="s">
        <v>1236</v>
      </c>
      <c r="C77" t="s">
        <v>16</v>
      </c>
      <c r="D77" t="s">
        <v>192</v>
      </c>
      <c r="E77" t="s">
        <v>193</v>
      </c>
      <c r="F77">
        <v>1992</v>
      </c>
      <c r="G77" t="s">
        <v>20</v>
      </c>
      <c r="H77" t="s">
        <v>21</v>
      </c>
      <c r="I77" t="s">
        <v>155</v>
      </c>
      <c r="J77" t="s">
        <v>1237</v>
      </c>
      <c r="K77" t="s">
        <v>1184</v>
      </c>
    </row>
    <row r="78" spans="1:11" x14ac:dyDescent="0.3">
      <c r="A78">
        <v>138</v>
      </c>
      <c r="B78" t="s">
        <v>1236</v>
      </c>
      <c r="C78" t="s">
        <v>16</v>
      </c>
      <c r="D78" t="s">
        <v>192</v>
      </c>
      <c r="E78" t="s">
        <v>193</v>
      </c>
      <c r="F78">
        <v>1996</v>
      </c>
      <c r="G78" t="s">
        <v>20</v>
      </c>
      <c r="H78" t="s">
        <v>96</v>
      </c>
      <c r="I78" t="s">
        <v>155</v>
      </c>
      <c r="J78" t="s">
        <v>1237</v>
      </c>
      <c r="K78" t="s">
        <v>1184</v>
      </c>
    </row>
    <row r="79" spans="1:11" x14ac:dyDescent="0.3">
      <c r="A79">
        <v>139</v>
      </c>
      <c r="B79" t="s">
        <v>1238</v>
      </c>
      <c r="C79" t="s">
        <v>16</v>
      </c>
      <c r="D79" t="s">
        <v>1126</v>
      </c>
      <c r="E79" t="s">
        <v>1125</v>
      </c>
      <c r="F79">
        <v>2016</v>
      </c>
      <c r="G79" t="s">
        <v>20</v>
      </c>
      <c r="H79" t="s">
        <v>151</v>
      </c>
      <c r="I79" t="s">
        <v>114</v>
      </c>
      <c r="J79" t="s">
        <v>115</v>
      </c>
      <c r="K79" t="s">
        <v>1184</v>
      </c>
    </row>
    <row r="80" spans="1:11" x14ac:dyDescent="0.3">
      <c r="A80">
        <v>140</v>
      </c>
      <c r="B80" t="s">
        <v>1238</v>
      </c>
      <c r="C80" t="s">
        <v>16</v>
      </c>
      <c r="D80" t="s">
        <v>1126</v>
      </c>
      <c r="E80" t="s">
        <v>1125</v>
      </c>
      <c r="F80">
        <v>2016</v>
      </c>
      <c r="G80" t="s">
        <v>20</v>
      </c>
      <c r="H80" t="s">
        <v>151</v>
      </c>
      <c r="I80" t="s">
        <v>114</v>
      </c>
      <c r="J80" t="s">
        <v>117</v>
      </c>
      <c r="K80" t="s">
        <v>1184</v>
      </c>
    </row>
    <row r="81" spans="1:11" x14ac:dyDescent="0.3">
      <c r="A81">
        <v>141</v>
      </c>
      <c r="B81" t="s">
        <v>1238</v>
      </c>
      <c r="C81" t="s">
        <v>16</v>
      </c>
      <c r="D81" t="s">
        <v>1126</v>
      </c>
      <c r="E81" t="s">
        <v>1125</v>
      </c>
      <c r="F81">
        <v>2016</v>
      </c>
      <c r="G81" t="s">
        <v>20</v>
      </c>
      <c r="H81" t="s">
        <v>151</v>
      </c>
      <c r="I81" t="s">
        <v>114</v>
      </c>
      <c r="J81" t="s">
        <v>119</v>
      </c>
      <c r="K81" t="s">
        <v>1184</v>
      </c>
    </row>
    <row r="82" spans="1:11" x14ac:dyDescent="0.3">
      <c r="A82">
        <v>142</v>
      </c>
      <c r="B82" t="s">
        <v>1238</v>
      </c>
      <c r="C82" t="s">
        <v>16</v>
      </c>
      <c r="D82" t="s">
        <v>1126</v>
      </c>
      <c r="E82" t="s">
        <v>1125</v>
      </c>
      <c r="F82">
        <v>2016</v>
      </c>
      <c r="G82" t="s">
        <v>20</v>
      </c>
      <c r="H82" t="s">
        <v>151</v>
      </c>
      <c r="I82" t="s">
        <v>114</v>
      </c>
      <c r="J82" t="s">
        <v>120</v>
      </c>
      <c r="K82" t="s">
        <v>1184</v>
      </c>
    </row>
    <row r="83" spans="1:11" x14ac:dyDescent="0.3">
      <c r="A83">
        <v>143</v>
      </c>
      <c r="B83" t="s">
        <v>1238</v>
      </c>
      <c r="C83" t="s">
        <v>16</v>
      </c>
      <c r="D83" t="s">
        <v>1126</v>
      </c>
      <c r="E83" t="s">
        <v>1125</v>
      </c>
      <c r="F83">
        <v>2016</v>
      </c>
      <c r="G83" t="s">
        <v>20</v>
      </c>
      <c r="H83" t="s">
        <v>151</v>
      </c>
      <c r="I83" t="s">
        <v>114</v>
      </c>
      <c r="J83" t="s">
        <v>121</v>
      </c>
      <c r="K83" t="s">
        <v>1184</v>
      </c>
    </row>
    <row r="84" spans="1:11" x14ac:dyDescent="0.3">
      <c r="A84">
        <v>144</v>
      </c>
      <c r="B84" t="s">
        <v>1238</v>
      </c>
      <c r="C84" t="s">
        <v>16</v>
      </c>
      <c r="D84" t="s">
        <v>1126</v>
      </c>
      <c r="E84" t="s">
        <v>1125</v>
      </c>
      <c r="F84">
        <v>2016</v>
      </c>
      <c r="G84" t="s">
        <v>20</v>
      </c>
      <c r="H84" t="s">
        <v>151</v>
      </c>
      <c r="I84" t="s">
        <v>114</v>
      </c>
      <c r="J84" t="s">
        <v>122</v>
      </c>
      <c r="K84" t="s">
        <v>1184</v>
      </c>
    </row>
    <row r="85" spans="1:11" x14ac:dyDescent="0.3">
      <c r="A85">
        <v>145</v>
      </c>
      <c r="B85" t="s">
        <v>1239</v>
      </c>
      <c r="C85" t="s">
        <v>16</v>
      </c>
      <c r="D85" t="s">
        <v>202</v>
      </c>
      <c r="E85" t="s">
        <v>203</v>
      </c>
      <c r="F85">
        <v>1976</v>
      </c>
      <c r="G85" t="s">
        <v>20</v>
      </c>
      <c r="H85" t="s">
        <v>1240</v>
      </c>
      <c r="I85" t="s">
        <v>71</v>
      </c>
      <c r="J85" t="s">
        <v>196</v>
      </c>
      <c r="K85" t="s">
        <v>1184</v>
      </c>
    </row>
    <row r="86" spans="1:11" x14ac:dyDescent="0.3">
      <c r="A86">
        <v>146</v>
      </c>
      <c r="B86" t="s">
        <v>1241</v>
      </c>
      <c r="C86" t="s">
        <v>16</v>
      </c>
      <c r="D86" t="s">
        <v>1120</v>
      </c>
      <c r="E86" t="s">
        <v>1119</v>
      </c>
      <c r="F86">
        <v>2000</v>
      </c>
      <c r="G86" t="s">
        <v>20</v>
      </c>
      <c r="H86" t="s">
        <v>91</v>
      </c>
      <c r="I86" t="s">
        <v>1242</v>
      </c>
      <c r="J86" t="s">
        <v>1243</v>
      </c>
      <c r="K86" t="s">
        <v>1184</v>
      </c>
    </row>
    <row r="87" spans="1:11" x14ac:dyDescent="0.3">
      <c r="A87">
        <v>147</v>
      </c>
      <c r="B87" t="s">
        <v>1244</v>
      </c>
      <c r="C87" t="s">
        <v>16</v>
      </c>
      <c r="D87" t="s">
        <v>1177</v>
      </c>
      <c r="E87" t="s">
        <v>1176</v>
      </c>
      <c r="F87">
        <v>1948</v>
      </c>
      <c r="G87" t="s">
        <v>20</v>
      </c>
      <c r="H87" t="s">
        <v>27</v>
      </c>
      <c r="I87" t="s">
        <v>1232</v>
      </c>
      <c r="J87" t="s">
        <v>1245</v>
      </c>
      <c r="K87" t="s">
        <v>1184</v>
      </c>
    </row>
    <row r="88" spans="1:11" x14ac:dyDescent="0.3">
      <c r="A88">
        <v>148</v>
      </c>
      <c r="B88" t="s">
        <v>1246</v>
      </c>
      <c r="C88" t="s">
        <v>16</v>
      </c>
      <c r="D88" t="s">
        <v>1126</v>
      </c>
      <c r="E88" t="s">
        <v>1125</v>
      </c>
      <c r="F88">
        <v>2016</v>
      </c>
      <c r="G88" t="s">
        <v>20</v>
      </c>
      <c r="H88" t="s">
        <v>151</v>
      </c>
      <c r="I88" t="s">
        <v>71</v>
      </c>
      <c r="J88" t="s">
        <v>1247</v>
      </c>
      <c r="K88" t="s">
        <v>1184</v>
      </c>
    </row>
    <row r="89" spans="1:11" x14ac:dyDescent="0.3">
      <c r="A89">
        <v>149</v>
      </c>
      <c r="B89" t="s">
        <v>1248</v>
      </c>
      <c r="C89" t="s">
        <v>16</v>
      </c>
      <c r="D89" t="s">
        <v>202</v>
      </c>
      <c r="E89" t="s">
        <v>203</v>
      </c>
      <c r="F89">
        <v>1956</v>
      </c>
      <c r="G89" t="s">
        <v>20</v>
      </c>
      <c r="H89" t="s">
        <v>966</v>
      </c>
      <c r="I89" t="s">
        <v>1249</v>
      </c>
      <c r="J89" t="s">
        <v>1250</v>
      </c>
      <c r="K89" t="s">
        <v>1184</v>
      </c>
    </row>
    <row r="90" spans="1:11" x14ac:dyDescent="0.3">
      <c r="A90">
        <v>150</v>
      </c>
      <c r="B90" t="s">
        <v>1248</v>
      </c>
      <c r="C90" t="s">
        <v>16</v>
      </c>
      <c r="D90" t="s">
        <v>202</v>
      </c>
      <c r="E90" t="s">
        <v>203</v>
      </c>
      <c r="F90">
        <v>1956</v>
      </c>
      <c r="G90" t="s">
        <v>20</v>
      </c>
      <c r="H90" t="s">
        <v>966</v>
      </c>
      <c r="I90" t="s">
        <v>1249</v>
      </c>
      <c r="J90" t="s">
        <v>1251</v>
      </c>
      <c r="K90" t="s">
        <v>43</v>
      </c>
    </row>
    <row r="91" spans="1:11" x14ac:dyDescent="0.3">
      <c r="A91">
        <v>151</v>
      </c>
      <c r="B91" t="s">
        <v>1252</v>
      </c>
      <c r="C91" t="s">
        <v>16</v>
      </c>
      <c r="D91" t="s">
        <v>1068</v>
      </c>
      <c r="E91" t="s">
        <v>1067</v>
      </c>
      <c r="F91">
        <v>1988</v>
      </c>
      <c r="G91" t="s">
        <v>20</v>
      </c>
      <c r="H91" t="s">
        <v>185</v>
      </c>
      <c r="I91" t="s">
        <v>1232</v>
      </c>
      <c r="J91" t="s">
        <v>1233</v>
      </c>
      <c r="K91" t="s">
        <v>1184</v>
      </c>
    </row>
    <row r="92" spans="1:11" x14ac:dyDescent="0.3">
      <c r="A92">
        <v>152</v>
      </c>
      <c r="B92" t="s">
        <v>1253</v>
      </c>
      <c r="C92" t="s">
        <v>16</v>
      </c>
      <c r="D92" t="s">
        <v>1068</v>
      </c>
      <c r="E92" t="s">
        <v>1067</v>
      </c>
      <c r="F92">
        <v>1924</v>
      </c>
      <c r="G92" t="s">
        <v>20</v>
      </c>
      <c r="H92" t="s">
        <v>40</v>
      </c>
      <c r="I92" t="s">
        <v>1249</v>
      </c>
      <c r="J92" t="s">
        <v>1250</v>
      </c>
      <c r="K92" t="s">
        <v>1184</v>
      </c>
    </row>
    <row r="93" spans="1:11" x14ac:dyDescent="0.3">
      <c r="A93">
        <v>153</v>
      </c>
      <c r="B93" t="s">
        <v>1253</v>
      </c>
      <c r="C93" t="s">
        <v>16</v>
      </c>
      <c r="D93" t="s">
        <v>1068</v>
      </c>
      <c r="E93" t="s">
        <v>1067</v>
      </c>
      <c r="F93">
        <v>1924</v>
      </c>
      <c r="G93" t="s">
        <v>20</v>
      </c>
      <c r="H93" t="s">
        <v>40</v>
      </c>
      <c r="I93" t="s">
        <v>1249</v>
      </c>
      <c r="J93" t="s">
        <v>1251</v>
      </c>
      <c r="K93" t="s">
        <v>1184</v>
      </c>
    </row>
    <row r="94" spans="1:11" x14ac:dyDescent="0.3">
      <c r="A94">
        <v>154</v>
      </c>
      <c r="B94" t="s">
        <v>1254</v>
      </c>
      <c r="C94" t="s">
        <v>16</v>
      </c>
      <c r="D94" t="s">
        <v>1068</v>
      </c>
      <c r="E94" t="s">
        <v>1067</v>
      </c>
      <c r="F94">
        <v>1956</v>
      </c>
      <c r="G94" t="s">
        <v>20</v>
      </c>
      <c r="H94" t="s">
        <v>966</v>
      </c>
      <c r="I94" t="s">
        <v>152</v>
      </c>
      <c r="J94" t="s">
        <v>1255</v>
      </c>
      <c r="K94" t="s">
        <v>1184</v>
      </c>
    </row>
    <row r="95" spans="1:11" x14ac:dyDescent="0.3">
      <c r="A95">
        <v>155</v>
      </c>
      <c r="B95" t="s">
        <v>1254</v>
      </c>
      <c r="C95" t="s">
        <v>16</v>
      </c>
      <c r="D95" t="s">
        <v>1068</v>
      </c>
      <c r="E95" t="s">
        <v>1067</v>
      </c>
      <c r="F95">
        <v>1960</v>
      </c>
      <c r="G95" t="s">
        <v>20</v>
      </c>
      <c r="H95" t="s">
        <v>1225</v>
      </c>
      <c r="I95" t="s">
        <v>152</v>
      </c>
      <c r="J95" t="s">
        <v>1256</v>
      </c>
      <c r="K95" t="s">
        <v>1184</v>
      </c>
    </row>
    <row r="96" spans="1:11" x14ac:dyDescent="0.3">
      <c r="A96">
        <v>156</v>
      </c>
      <c r="B96" t="s">
        <v>1257</v>
      </c>
      <c r="C96" t="s">
        <v>16</v>
      </c>
      <c r="D96" t="s">
        <v>1068</v>
      </c>
      <c r="E96" t="s">
        <v>1067</v>
      </c>
      <c r="F96">
        <v>1960</v>
      </c>
      <c r="G96" t="s">
        <v>20</v>
      </c>
      <c r="H96" t="s">
        <v>1225</v>
      </c>
      <c r="I96" t="s">
        <v>152</v>
      </c>
      <c r="J96" t="s">
        <v>1256</v>
      </c>
      <c r="K96" t="s">
        <v>1184</v>
      </c>
    </row>
    <row r="97" spans="1:11" x14ac:dyDescent="0.3">
      <c r="A97">
        <v>157</v>
      </c>
      <c r="B97" t="s">
        <v>1258</v>
      </c>
      <c r="C97" t="s">
        <v>16</v>
      </c>
      <c r="D97" t="s">
        <v>1068</v>
      </c>
      <c r="E97" t="s">
        <v>1067</v>
      </c>
      <c r="F97">
        <v>1960</v>
      </c>
      <c r="G97" t="s">
        <v>20</v>
      </c>
      <c r="H97" t="s">
        <v>1225</v>
      </c>
      <c r="I97" t="s">
        <v>35</v>
      </c>
      <c r="J97" t="s">
        <v>36</v>
      </c>
      <c r="K97" t="s">
        <v>1184</v>
      </c>
    </row>
    <row r="98" spans="1:11" x14ac:dyDescent="0.3">
      <c r="A98">
        <v>158</v>
      </c>
      <c r="B98" t="s">
        <v>1259</v>
      </c>
      <c r="C98" t="s">
        <v>16</v>
      </c>
      <c r="D98" t="s">
        <v>1260</v>
      </c>
      <c r="E98" t="s">
        <v>1261</v>
      </c>
      <c r="F98">
        <v>2016</v>
      </c>
      <c r="G98" t="s">
        <v>20</v>
      </c>
      <c r="H98" t="s">
        <v>151</v>
      </c>
      <c r="I98" t="s">
        <v>189</v>
      </c>
      <c r="J98" t="s">
        <v>1262</v>
      </c>
      <c r="K98" t="s">
        <v>107</v>
      </c>
    </row>
    <row r="99" spans="1:11" x14ac:dyDescent="0.3">
      <c r="A99">
        <v>159</v>
      </c>
      <c r="B99" t="s">
        <v>1263</v>
      </c>
      <c r="C99" t="s">
        <v>16</v>
      </c>
      <c r="D99" t="s">
        <v>1126</v>
      </c>
      <c r="E99" t="s">
        <v>1125</v>
      </c>
      <c r="F99">
        <v>2008</v>
      </c>
      <c r="G99" t="s">
        <v>20</v>
      </c>
      <c r="H99" t="s">
        <v>144</v>
      </c>
      <c r="I99" t="s">
        <v>242</v>
      </c>
      <c r="J99" t="s">
        <v>1210</v>
      </c>
      <c r="K99" t="s">
        <v>107</v>
      </c>
    </row>
    <row r="100" spans="1:11" x14ac:dyDescent="0.3">
      <c r="A100">
        <v>160</v>
      </c>
      <c r="B100" t="s">
        <v>1264</v>
      </c>
      <c r="C100" t="s">
        <v>16</v>
      </c>
      <c r="D100" t="s">
        <v>1082</v>
      </c>
      <c r="E100" t="s">
        <v>1081</v>
      </c>
      <c r="F100">
        <v>1992</v>
      </c>
      <c r="G100" t="s">
        <v>20</v>
      </c>
      <c r="H100" t="s">
        <v>21</v>
      </c>
      <c r="I100" t="s">
        <v>28</v>
      </c>
      <c r="J100" t="s">
        <v>1265</v>
      </c>
      <c r="K100" t="s">
        <v>1184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708F-C661-42A0-98FB-07F713A57400}">
  <dimension ref="A1:BN100"/>
  <sheetViews>
    <sheetView tabSelected="1" workbookViewId="0">
      <selection activeCell="I26" sqref="I26"/>
    </sheetView>
  </sheetViews>
  <sheetFormatPr baseColWidth="10" defaultRowHeight="14.4" x14ac:dyDescent="0.3"/>
  <sheetData>
    <row r="1" spans="1:66" x14ac:dyDescent="0.3">
      <c r="A1" t="s">
        <v>1266</v>
      </c>
      <c r="B1" t="s">
        <v>1267</v>
      </c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</row>
    <row r="2" spans="1:66" x14ac:dyDescent="0.3">
      <c r="A2" t="s">
        <v>1025</v>
      </c>
      <c r="B2" t="s">
        <v>1268</v>
      </c>
      <c r="C2">
        <v>54608</v>
      </c>
      <c r="D2">
        <v>55811</v>
      </c>
      <c r="E2">
        <v>56682</v>
      </c>
      <c r="F2">
        <v>57475</v>
      </c>
      <c r="G2">
        <v>58178</v>
      </c>
      <c r="H2">
        <v>58782</v>
      </c>
      <c r="I2">
        <v>59291</v>
      </c>
      <c r="J2">
        <v>59522</v>
      </c>
      <c r="K2">
        <v>59471</v>
      </c>
      <c r="L2">
        <v>59330</v>
      </c>
      <c r="M2">
        <v>59106</v>
      </c>
      <c r="N2">
        <v>58816</v>
      </c>
      <c r="O2">
        <v>58855</v>
      </c>
      <c r="P2">
        <v>59365</v>
      </c>
      <c r="Q2">
        <v>60028</v>
      </c>
      <c r="R2">
        <v>60715</v>
      </c>
      <c r="S2">
        <v>61193</v>
      </c>
      <c r="T2">
        <v>61465</v>
      </c>
      <c r="U2">
        <v>61738</v>
      </c>
      <c r="V2">
        <v>62006</v>
      </c>
      <c r="W2">
        <v>62267</v>
      </c>
      <c r="X2">
        <v>62614</v>
      </c>
      <c r="Y2">
        <v>63116</v>
      </c>
      <c r="Z2">
        <v>63683</v>
      </c>
      <c r="AA2">
        <v>64174</v>
      </c>
      <c r="AB2">
        <v>64478</v>
      </c>
      <c r="AC2">
        <v>64553</v>
      </c>
      <c r="AD2">
        <v>64450</v>
      </c>
      <c r="AE2">
        <v>64332</v>
      </c>
      <c r="AF2">
        <v>64596</v>
      </c>
      <c r="AG2">
        <v>65712</v>
      </c>
      <c r="AH2">
        <v>67864</v>
      </c>
      <c r="AI2">
        <v>70192</v>
      </c>
      <c r="AJ2">
        <v>72360</v>
      </c>
      <c r="AK2">
        <v>74710</v>
      </c>
      <c r="AL2">
        <v>77050</v>
      </c>
      <c r="AM2">
        <v>79417</v>
      </c>
      <c r="AN2">
        <v>81858</v>
      </c>
      <c r="AO2">
        <v>84355</v>
      </c>
      <c r="AP2">
        <v>86867</v>
      </c>
      <c r="AQ2">
        <v>89101</v>
      </c>
      <c r="AR2">
        <v>90691</v>
      </c>
      <c r="AS2">
        <v>91781</v>
      </c>
      <c r="AT2">
        <v>92701</v>
      </c>
      <c r="AU2">
        <v>93540</v>
      </c>
      <c r="AV2">
        <v>94483</v>
      </c>
      <c r="AW2">
        <v>95606</v>
      </c>
      <c r="AX2">
        <v>96787</v>
      </c>
      <c r="AY2">
        <v>97996</v>
      </c>
      <c r="AZ2">
        <v>99212</v>
      </c>
      <c r="BA2">
        <v>100341</v>
      </c>
      <c r="BB2">
        <v>101288</v>
      </c>
      <c r="BC2">
        <v>102112</v>
      </c>
      <c r="BD2">
        <v>102880</v>
      </c>
      <c r="BE2">
        <v>103594</v>
      </c>
      <c r="BF2">
        <v>104257</v>
      </c>
      <c r="BG2">
        <v>104874</v>
      </c>
      <c r="BH2">
        <v>105439</v>
      </c>
      <c r="BI2">
        <v>105962</v>
      </c>
      <c r="BJ2">
        <v>106442</v>
      </c>
      <c r="BK2">
        <v>106585</v>
      </c>
      <c r="BL2">
        <v>106537</v>
      </c>
      <c r="BM2">
        <v>106445</v>
      </c>
      <c r="BN2">
        <v>106277</v>
      </c>
    </row>
    <row r="3" spans="1:66" x14ac:dyDescent="0.3">
      <c r="A3" t="s">
        <v>1269</v>
      </c>
      <c r="B3" t="s">
        <v>1270</v>
      </c>
      <c r="C3">
        <v>130692579</v>
      </c>
      <c r="D3">
        <v>134169237</v>
      </c>
      <c r="E3">
        <v>137835590</v>
      </c>
      <c r="F3">
        <v>141630546</v>
      </c>
      <c r="G3">
        <v>145605995</v>
      </c>
      <c r="H3">
        <v>149742351</v>
      </c>
      <c r="I3">
        <v>153955516</v>
      </c>
      <c r="J3">
        <v>158313235</v>
      </c>
      <c r="K3">
        <v>162875171</v>
      </c>
      <c r="L3">
        <v>167596160</v>
      </c>
      <c r="M3">
        <v>172475766</v>
      </c>
      <c r="N3">
        <v>177503186</v>
      </c>
      <c r="O3">
        <v>182599092</v>
      </c>
      <c r="P3">
        <v>187901657</v>
      </c>
      <c r="Q3">
        <v>193512956</v>
      </c>
      <c r="R3">
        <v>199284304</v>
      </c>
      <c r="S3">
        <v>205202669</v>
      </c>
      <c r="T3">
        <v>211120911</v>
      </c>
      <c r="U3">
        <v>217481420</v>
      </c>
      <c r="V3">
        <v>224315978</v>
      </c>
      <c r="W3">
        <v>230967858</v>
      </c>
      <c r="X3">
        <v>237937461</v>
      </c>
      <c r="Y3">
        <v>245386717</v>
      </c>
      <c r="Z3">
        <v>252779730</v>
      </c>
      <c r="AA3">
        <v>260209149</v>
      </c>
      <c r="AB3">
        <v>267938123</v>
      </c>
      <c r="AC3">
        <v>276035920</v>
      </c>
      <c r="AD3">
        <v>284490394</v>
      </c>
      <c r="AE3">
        <v>292795186</v>
      </c>
      <c r="AF3">
        <v>301124880</v>
      </c>
      <c r="AG3">
        <v>309890664</v>
      </c>
      <c r="AH3">
        <v>318544083</v>
      </c>
      <c r="AI3">
        <v>326933522</v>
      </c>
      <c r="AJ3">
        <v>335625136</v>
      </c>
      <c r="AK3">
        <v>344418362</v>
      </c>
      <c r="AL3">
        <v>353466601</v>
      </c>
      <c r="AM3">
        <v>362985802</v>
      </c>
      <c r="AN3">
        <v>372352230</v>
      </c>
      <c r="AO3">
        <v>381715600</v>
      </c>
      <c r="AP3">
        <v>391486231</v>
      </c>
      <c r="AQ3">
        <v>401600588</v>
      </c>
      <c r="AR3">
        <v>412001885</v>
      </c>
      <c r="AS3">
        <v>422741118</v>
      </c>
      <c r="AT3">
        <v>433807484</v>
      </c>
      <c r="AU3">
        <v>445281555</v>
      </c>
      <c r="AV3">
        <v>457153837</v>
      </c>
      <c r="AW3">
        <v>469508516</v>
      </c>
      <c r="AX3">
        <v>482406426</v>
      </c>
      <c r="AY3">
        <v>495748900</v>
      </c>
      <c r="AZ3">
        <v>509410477</v>
      </c>
      <c r="BA3">
        <v>523459657</v>
      </c>
      <c r="BB3">
        <v>537792950</v>
      </c>
      <c r="BC3">
        <v>552530654</v>
      </c>
      <c r="BD3">
        <v>567892149</v>
      </c>
      <c r="BE3">
        <v>583651101</v>
      </c>
      <c r="BF3">
        <v>600008424</v>
      </c>
      <c r="BG3">
        <v>616377605</v>
      </c>
      <c r="BH3">
        <v>632746570</v>
      </c>
      <c r="BI3">
        <v>649757148</v>
      </c>
      <c r="BJ3">
        <v>667242986</v>
      </c>
      <c r="BK3">
        <v>685112979</v>
      </c>
      <c r="BL3">
        <v>702977106</v>
      </c>
      <c r="BM3">
        <v>720859132</v>
      </c>
      <c r="BN3">
        <v>739108306</v>
      </c>
    </row>
    <row r="4" spans="1:66" x14ac:dyDescent="0.3">
      <c r="A4" t="s">
        <v>1002</v>
      </c>
      <c r="B4" t="s">
        <v>1001</v>
      </c>
      <c r="C4">
        <v>8622466</v>
      </c>
      <c r="D4">
        <v>8790140</v>
      </c>
      <c r="E4">
        <v>8969047</v>
      </c>
      <c r="F4">
        <v>9157465</v>
      </c>
      <c r="G4">
        <v>9355514</v>
      </c>
      <c r="H4">
        <v>9565147</v>
      </c>
      <c r="I4">
        <v>9783147</v>
      </c>
      <c r="J4">
        <v>10010030</v>
      </c>
      <c r="K4">
        <v>10247780</v>
      </c>
      <c r="L4">
        <v>10494489</v>
      </c>
      <c r="M4">
        <v>10752971</v>
      </c>
      <c r="N4">
        <v>11015857</v>
      </c>
      <c r="O4">
        <v>11286753</v>
      </c>
      <c r="P4">
        <v>11575305</v>
      </c>
      <c r="Q4">
        <v>11869879</v>
      </c>
      <c r="R4">
        <v>12157386</v>
      </c>
      <c r="S4">
        <v>12425267</v>
      </c>
      <c r="T4">
        <v>12687301</v>
      </c>
      <c r="U4">
        <v>12938862</v>
      </c>
      <c r="V4">
        <v>12986369</v>
      </c>
      <c r="W4">
        <v>12486631</v>
      </c>
      <c r="X4">
        <v>11155195</v>
      </c>
      <c r="Y4">
        <v>10088289</v>
      </c>
      <c r="Z4">
        <v>9951449</v>
      </c>
      <c r="AA4">
        <v>10243686</v>
      </c>
      <c r="AB4">
        <v>10512221</v>
      </c>
      <c r="AC4">
        <v>10448442</v>
      </c>
      <c r="AD4">
        <v>10322758</v>
      </c>
      <c r="AE4">
        <v>10383460</v>
      </c>
      <c r="AF4">
        <v>10673168</v>
      </c>
      <c r="AG4">
        <v>10694796</v>
      </c>
      <c r="AH4">
        <v>10745167</v>
      </c>
      <c r="AI4">
        <v>12057433</v>
      </c>
      <c r="AJ4">
        <v>14003760</v>
      </c>
      <c r="AK4">
        <v>15455555</v>
      </c>
      <c r="AL4">
        <v>16418912</v>
      </c>
      <c r="AM4">
        <v>17106595</v>
      </c>
      <c r="AN4">
        <v>17788819</v>
      </c>
      <c r="AO4">
        <v>18493132</v>
      </c>
      <c r="AP4">
        <v>19262847</v>
      </c>
      <c r="AQ4">
        <v>19542982</v>
      </c>
      <c r="AR4">
        <v>19688632</v>
      </c>
      <c r="AS4">
        <v>21000256</v>
      </c>
      <c r="AT4">
        <v>22645130</v>
      </c>
      <c r="AU4">
        <v>23553551</v>
      </c>
      <c r="AV4">
        <v>24411191</v>
      </c>
      <c r="AW4">
        <v>25442944</v>
      </c>
      <c r="AX4">
        <v>25903301</v>
      </c>
      <c r="AY4">
        <v>26427199</v>
      </c>
      <c r="AZ4">
        <v>27385307</v>
      </c>
      <c r="BA4">
        <v>28189672</v>
      </c>
      <c r="BB4">
        <v>29249157</v>
      </c>
      <c r="BC4">
        <v>30466479</v>
      </c>
      <c r="BD4">
        <v>31541209</v>
      </c>
      <c r="BE4">
        <v>32716210</v>
      </c>
      <c r="BF4">
        <v>33753499</v>
      </c>
      <c r="BG4">
        <v>34636207</v>
      </c>
      <c r="BH4">
        <v>35643418</v>
      </c>
      <c r="BI4">
        <v>36686784</v>
      </c>
      <c r="BJ4">
        <v>37769499</v>
      </c>
      <c r="BK4">
        <v>38972230</v>
      </c>
      <c r="BL4">
        <v>40099462</v>
      </c>
      <c r="BM4">
        <v>41128771</v>
      </c>
      <c r="BN4">
        <v>42239854</v>
      </c>
    </row>
    <row r="5" spans="1:66" x14ac:dyDescent="0.3">
      <c r="A5" t="s">
        <v>1271</v>
      </c>
      <c r="B5" t="s">
        <v>1272</v>
      </c>
      <c r="C5">
        <v>97256290</v>
      </c>
      <c r="D5">
        <v>99314028</v>
      </c>
      <c r="E5">
        <v>101445032</v>
      </c>
      <c r="F5">
        <v>103667517</v>
      </c>
      <c r="G5">
        <v>105959979</v>
      </c>
      <c r="H5">
        <v>108336203</v>
      </c>
      <c r="I5">
        <v>110798486</v>
      </c>
      <c r="J5">
        <v>113319950</v>
      </c>
      <c r="K5">
        <v>115921723</v>
      </c>
      <c r="L5">
        <v>118615741</v>
      </c>
      <c r="M5">
        <v>121424797</v>
      </c>
      <c r="N5">
        <v>124336039</v>
      </c>
      <c r="O5">
        <v>127364044</v>
      </c>
      <c r="P5">
        <v>130563107</v>
      </c>
      <c r="Q5">
        <v>133953892</v>
      </c>
      <c r="R5">
        <v>137548613</v>
      </c>
      <c r="S5">
        <v>141258400</v>
      </c>
      <c r="T5">
        <v>145122851</v>
      </c>
      <c r="U5">
        <v>149206663</v>
      </c>
      <c r="V5">
        <v>153459665</v>
      </c>
      <c r="W5">
        <v>157825609</v>
      </c>
      <c r="X5">
        <v>162323313</v>
      </c>
      <c r="Y5">
        <v>167023385</v>
      </c>
      <c r="Z5">
        <v>171566640</v>
      </c>
      <c r="AA5">
        <v>176054495</v>
      </c>
      <c r="AB5">
        <v>180817312</v>
      </c>
      <c r="AC5">
        <v>185720244</v>
      </c>
      <c r="AD5">
        <v>190759952</v>
      </c>
      <c r="AE5">
        <v>195969722</v>
      </c>
      <c r="AF5">
        <v>201392200</v>
      </c>
      <c r="AG5">
        <v>206739024</v>
      </c>
      <c r="AH5">
        <v>212172888</v>
      </c>
      <c r="AI5">
        <v>217966101</v>
      </c>
      <c r="AJ5">
        <v>223788766</v>
      </c>
      <c r="AK5">
        <v>229675775</v>
      </c>
      <c r="AL5">
        <v>235861484</v>
      </c>
      <c r="AM5">
        <v>242200260</v>
      </c>
      <c r="AN5">
        <v>248713095</v>
      </c>
      <c r="AO5">
        <v>255482918</v>
      </c>
      <c r="AP5">
        <v>262397030</v>
      </c>
      <c r="AQ5">
        <v>269611898</v>
      </c>
      <c r="AR5">
        <v>277160097</v>
      </c>
      <c r="AS5">
        <v>284952322</v>
      </c>
      <c r="AT5">
        <v>292977949</v>
      </c>
      <c r="AU5">
        <v>301265247</v>
      </c>
      <c r="AV5">
        <v>309824829</v>
      </c>
      <c r="AW5">
        <v>318601484</v>
      </c>
      <c r="AX5">
        <v>327612838</v>
      </c>
      <c r="AY5">
        <v>336893835</v>
      </c>
      <c r="AZ5">
        <v>346475221</v>
      </c>
      <c r="BA5">
        <v>356337762</v>
      </c>
      <c r="BB5">
        <v>366489204</v>
      </c>
      <c r="BC5">
        <v>376797999</v>
      </c>
      <c r="BD5">
        <v>387204553</v>
      </c>
      <c r="BE5">
        <v>397855507</v>
      </c>
      <c r="BF5">
        <v>408690375</v>
      </c>
      <c r="BG5">
        <v>419778384</v>
      </c>
      <c r="BH5">
        <v>431138704</v>
      </c>
      <c r="BI5">
        <v>442646825</v>
      </c>
      <c r="BJ5">
        <v>454306063</v>
      </c>
      <c r="BK5">
        <v>466189102</v>
      </c>
      <c r="BL5">
        <v>478185907</v>
      </c>
      <c r="BM5">
        <v>490330870</v>
      </c>
      <c r="BN5">
        <v>502789511</v>
      </c>
    </row>
    <row r="6" spans="1:66" x14ac:dyDescent="0.3">
      <c r="A6" t="s">
        <v>1013</v>
      </c>
      <c r="B6" t="s">
        <v>1273</v>
      </c>
      <c r="C6">
        <v>5357195</v>
      </c>
      <c r="D6">
        <v>5441333</v>
      </c>
      <c r="E6">
        <v>5521400</v>
      </c>
      <c r="F6">
        <v>5599827</v>
      </c>
      <c r="G6">
        <v>5673199</v>
      </c>
      <c r="H6">
        <v>5736582</v>
      </c>
      <c r="I6">
        <v>5787044</v>
      </c>
      <c r="J6">
        <v>5827503</v>
      </c>
      <c r="K6">
        <v>5868203</v>
      </c>
      <c r="L6">
        <v>5928386</v>
      </c>
      <c r="M6">
        <v>6029700</v>
      </c>
      <c r="N6">
        <v>6177049</v>
      </c>
      <c r="O6">
        <v>6364731</v>
      </c>
      <c r="P6">
        <v>6578230</v>
      </c>
      <c r="Q6">
        <v>6802494</v>
      </c>
      <c r="R6">
        <v>7032713</v>
      </c>
      <c r="S6">
        <v>7266780</v>
      </c>
      <c r="T6">
        <v>7511895</v>
      </c>
      <c r="U6">
        <v>7771590</v>
      </c>
      <c r="V6">
        <v>8043218</v>
      </c>
      <c r="W6">
        <v>8330047</v>
      </c>
      <c r="X6">
        <v>8631457</v>
      </c>
      <c r="Y6">
        <v>8947152</v>
      </c>
      <c r="Z6">
        <v>9276707</v>
      </c>
      <c r="AA6">
        <v>9617702</v>
      </c>
      <c r="AB6">
        <v>9970621</v>
      </c>
      <c r="AC6">
        <v>10332574</v>
      </c>
      <c r="AD6">
        <v>10694057</v>
      </c>
      <c r="AE6">
        <v>11060261</v>
      </c>
      <c r="AF6">
        <v>11439498</v>
      </c>
      <c r="AG6">
        <v>11828638</v>
      </c>
      <c r="AH6">
        <v>12228691</v>
      </c>
      <c r="AI6">
        <v>12632507</v>
      </c>
      <c r="AJ6">
        <v>13038270</v>
      </c>
      <c r="AK6">
        <v>13462031</v>
      </c>
      <c r="AL6">
        <v>13912253</v>
      </c>
      <c r="AM6">
        <v>14383350</v>
      </c>
      <c r="AN6">
        <v>14871146</v>
      </c>
      <c r="AO6">
        <v>15366864</v>
      </c>
      <c r="AP6">
        <v>15870753</v>
      </c>
      <c r="AQ6">
        <v>16394062</v>
      </c>
      <c r="AR6">
        <v>16941587</v>
      </c>
      <c r="AS6">
        <v>17516139</v>
      </c>
      <c r="AT6">
        <v>18124342</v>
      </c>
      <c r="AU6">
        <v>18771125</v>
      </c>
      <c r="AV6">
        <v>19450959</v>
      </c>
      <c r="AW6">
        <v>20162340</v>
      </c>
      <c r="AX6">
        <v>20909684</v>
      </c>
      <c r="AY6">
        <v>21691522</v>
      </c>
      <c r="AZ6">
        <v>22507674</v>
      </c>
      <c r="BA6">
        <v>23364185</v>
      </c>
      <c r="BB6">
        <v>24259111</v>
      </c>
      <c r="BC6">
        <v>25188292</v>
      </c>
      <c r="BD6">
        <v>26147002</v>
      </c>
      <c r="BE6">
        <v>27128337</v>
      </c>
      <c r="BF6">
        <v>28127721</v>
      </c>
      <c r="BG6">
        <v>29154746</v>
      </c>
      <c r="BH6">
        <v>30208628</v>
      </c>
      <c r="BI6">
        <v>31273533</v>
      </c>
      <c r="BJ6">
        <v>32353588</v>
      </c>
      <c r="BK6">
        <v>33428486</v>
      </c>
      <c r="BL6">
        <v>34503774</v>
      </c>
      <c r="BM6">
        <v>35588987</v>
      </c>
      <c r="BN6">
        <v>36684202</v>
      </c>
    </row>
    <row r="7" spans="1:66" x14ac:dyDescent="0.3">
      <c r="A7" t="s">
        <v>1007</v>
      </c>
      <c r="B7" t="s">
        <v>1006</v>
      </c>
      <c r="C7">
        <v>1608800</v>
      </c>
      <c r="D7">
        <v>1659800</v>
      </c>
      <c r="E7">
        <v>1711319</v>
      </c>
      <c r="F7">
        <v>1762621</v>
      </c>
      <c r="G7">
        <v>1814135</v>
      </c>
      <c r="H7">
        <v>1864791</v>
      </c>
      <c r="I7">
        <v>1914573</v>
      </c>
      <c r="J7">
        <v>1965598</v>
      </c>
      <c r="K7">
        <v>2022272</v>
      </c>
      <c r="L7">
        <v>2081695</v>
      </c>
      <c r="M7">
        <v>2135479</v>
      </c>
      <c r="N7">
        <v>2187853</v>
      </c>
      <c r="O7">
        <v>2243126</v>
      </c>
      <c r="P7">
        <v>2296752</v>
      </c>
      <c r="Q7">
        <v>2350124</v>
      </c>
      <c r="R7">
        <v>2404831</v>
      </c>
      <c r="S7">
        <v>2458526</v>
      </c>
      <c r="T7">
        <v>2513546</v>
      </c>
      <c r="U7">
        <v>2566266</v>
      </c>
      <c r="V7">
        <v>2617832</v>
      </c>
      <c r="W7">
        <v>2671997</v>
      </c>
      <c r="X7">
        <v>2726056</v>
      </c>
      <c r="Y7">
        <v>2784278</v>
      </c>
      <c r="Z7">
        <v>2843960</v>
      </c>
      <c r="AA7">
        <v>2904429</v>
      </c>
      <c r="AB7">
        <v>2964762</v>
      </c>
      <c r="AC7">
        <v>3022635</v>
      </c>
      <c r="AD7">
        <v>3083605</v>
      </c>
      <c r="AE7">
        <v>3142336</v>
      </c>
      <c r="AF7">
        <v>3227943</v>
      </c>
      <c r="AG7">
        <v>3286542</v>
      </c>
      <c r="AH7">
        <v>3266790</v>
      </c>
      <c r="AI7">
        <v>3247039</v>
      </c>
      <c r="AJ7">
        <v>3227287</v>
      </c>
      <c r="AK7">
        <v>3207536</v>
      </c>
      <c r="AL7">
        <v>3187784</v>
      </c>
      <c r="AM7">
        <v>3168033</v>
      </c>
      <c r="AN7">
        <v>3148281</v>
      </c>
      <c r="AO7">
        <v>3128530</v>
      </c>
      <c r="AP7">
        <v>3108778</v>
      </c>
      <c r="AQ7">
        <v>3089027</v>
      </c>
      <c r="AR7">
        <v>3060173</v>
      </c>
      <c r="AS7">
        <v>3051010</v>
      </c>
      <c r="AT7">
        <v>3039616</v>
      </c>
      <c r="AU7">
        <v>3026939</v>
      </c>
      <c r="AV7">
        <v>3011487</v>
      </c>
      <c r="AW7">
        <v>2992547</v>
      </c>
      <c r="AX7">
        <v>2970017</v>
      </c>
      <c r="AY7">
        <v>2947314</v>
      </c>
      <c r="AZ7">
        <v>2927519</v>
      </c>
      <c r="BA7">
        <v>2913021</v>
      </c>
      <c r="BB7">
        <v>2905195</v>
      </c>
      <c r="BC7">
        <v>2900401</v>
      </c>
      <c r="BD7">
        <v>2895092</v>
      </c>
      <c r="BE7">
        <v>2889104</v>
      </c>
      <c r="BF7">
        <v>2880703</v>
      </c>
      <c r="BG7">
        <v>2876101</v>
      </c>
      <c r="BH7">
        <v>2873457</v>
      </c>
      <c r="BI7">
        <v>2866376</v>
      </c>
      <c r="BJ7">
        <v>2854191</v>
      </c>
      <c r="BK7">
        <v>2837849</v>
      </c>
      <c r="BL7">
        <v>2811666</v>
      </c>
      <c r="BM7">
        <v>2777689</v>
      </c>
      <c r="BN7">
        <v>2745972</v>
      </c>
    </row>
    <row r="8" spans="1:66" x14ac:dyDescent="0.3">
      <c r="A8" t="s">
        <v>1011</v>
      </c>
      <c r="B8" t="s">
        <v>1010</v>
      </c>
      <c r="C8">
        <v>9443</v>
      </c>
      <c r="D8">
        <v>10216</v>
      </c>
      <c r="E8">
        <v>11014</v>
      </c>
      <c r="F8">
        <v>11839</v>
      </c>
      <c r="G8">
        <v>12690</v>
      </c>
      <c r="H8">
        <v>13563</v>
      </c>
      <c r="I8">
        <v>14546</v>
      </c>
      <c r="J8">
        <v>15745</v>
      </c>
      <c r="K8">
        <v>17079</v>
      </c>
      <c r="L8">
        <v>18449</v>
      </c>
      <c r="M8">
        <v>19860</v>
      </c>
      <c r="N8">
        <v>21322</v>
      </c>
      <c r="O8">
        <v>22832</v>
      </c>
      <c r="P8">
        <v>24393</v>
      </c>
      <c r="Q8">
        <v>26003</v>
      </c>
      <c r="R8">
        <v>27640</v>
      </c>
      <c r="S8">
        <v>29294</v>
      </c>
      <c r="T8">
        <v>30949</v>
      </c>
      <c r="U8">
        <v>32574</v>
      </c>
      <c r="V8">
        <v>34142</v>
      </c>
      <c r="W8">
        <v>35611</v>
      </c>
      <c r="X8">
        <v>36987</v>
      </c>
      <c r="Y8">
        <v>38598</v>
      </c>
      <c r="Z8">
        <v>40432</v>
      </c>
      <c r="AA8">
        <v>42181</v>
      </c>
      <c r="AB8">
        <v>43809</v>
      </c>
      <c r="AC8">
        <v>45605</v>
      </c>
      <c r="AD8">
        <v>47635</v>
      </c>
      <c r="AE8">
        <v>49654</v>
      </c>
      <c r="AF8">
        <v>51639</v>
      </c>
      <c r="AG8">
        <v>53569</v>
      </c>
      <c r="AH8">
        <v>55434</v>
      </c>
      <c r="AI8">
        <v>57283</v>
      </c>
      <c r="AJ8">
        <v>59156</v>
      </c>
      <c r="AK8">
        <v>61037</v>
      </c>
      <c r="AL8">
        <v>62928</v>
      </c>
      <c r="AM8">
        <v>64147</v>
      </c>
      <c r="AN8">
        <v>64682</v>
      </c>
      <c r="AO8">
        <v>65186</v>
      </c>
      <c r="AP8">
        <v>65655</v>
      </c>
      <c r="AQ8">
        <v>66097</v>
      </c>
      <c r="AR8">
        <v>67820</v>
      </c>
      <c r="AS8">
        <v>70849</v>
      </c>
      <c r="AT8">
        <v>73907</v>
      </c>
      <c r="AU8">
        <v>76933</v>
      </c>
      <c r="AV8">
        <v>79826</v>
      </c>
      <c r="AW8">
        <v>80221</v>
      </c>
      <c r="AX8">
        <v>78168</v>
      </c>
      <c r="AY8">
        <v>76055</v>
      </c>
      <c r="AZ8">
        <v>73852</v>
      </c>
      <c r="BA8">
        <v>71519</v>
      </c>
      <c r="BB8">
        <v>70567</v>
      </c>
      <c r="BC8">
        <v>71013</v>
      </c>
      <c r="BD8">
        <v>71367</v>
      </c>
      <c r="BE8">
        <v>71621</v>
      </c>
      <c r="BF8">
        <v>71746</v>
      </c>
      <c r="BG8">
        <v>72540</v>
      </c>
      <c r="BH8">
        <v>73837</v>
      </c>
      <c r="BI8">
        <v>75013</v>
      </c>
      <c r="BJ8">
        <v>76343</v>
      </c>
      <c r="BK8">
        <v>77700</v>
      </c>
      <c r="BL8">
        <v>79034</v>
      </c>
      <c r="BM8">
        <v>79824</v>
      </c>
      <c r="BN8">
        <v>80088</v>
      </c>
    </row>
    <row r="9" spans="1:66" x14ac:dyDescent="0.3">
      <c r="A9" t="s">
        <v>1274</v>
      </c>
      <c r="B9" t="s">
        <v>1275</v>
      </c>
      <c r="C9">
        <v>93359407</v>
      </c>
      <c r="D9">
        <v>95760348</v>
      </c>
      <c r="E9">
        <v>98268683</v>
      </c>
      <c r="F9">
        <v>100892507</v>
      </c>
      <c r="G9">
        <v>103618568</v>
      </c>
      <c r="H9">
        <v>106444103</v>
      </c>
      <c r="I9">
        <v>109394536</v>
      </c>
      <c r="J9">
        <v>112499764</v>
      </c>
      <c r="K9">
        <v>115729597</v>
      </c>
      <c r="L9">
        <v>119061868</v>
      </c>
      <c r="M9">
        <v>122475578</v>
      </c>
      <c r="N9">
        <v>125979765</v>
      </c>
      <c r="O9">
        <v>129605560</v>
      </c>
      <c r="P9">
        <v>133384981</v>
      </c>
      <c r="Q9">
        <v>137372356</v>
      </c>
      <c r="R9">
        <v>141756318</v>
      </c>
      <c r="S9">
        <v>146815543</v>
      </c>
      <c r="T9">
        <v>151960544</v>
      </c>
      <c r="U9">
        <v>156741680</v>
      </c>
      <c r="V9">
        <v>162014425</v>
      </c>
      <c r="W9">
        <v>167707208</v>
      </c>
      <c r="X9">
        <v>173118753</v>
      </c>
      <c r="Y9">
        <v>178587926</v>
      </c>
      <c r="Z9">
        <v>184342569</v>
      </c>
      <c r="AA9">
        <v>190162096</v>
      </c>
      <c r="AB9">
        <v>195956917</v>
      </c>
      <c r="AC9">
        <v>201916517</v>
      </c>
      <c r="AD9">
        <v>207894127</v>
      </c>
      <c r="AE9">
        <v>213455083</v>
      </c>
      <c r="AF9">
        <v>219021375</v>
      </c>
      <c r="AG9">
        <v>225923327</v>
      </c>
      <c r="AH9">
        <v>230837072</v>
      </c>
      <c r="AI9">
        <v>236598334</v>
      </c>
      <c r="AJ9">
        <v>242994250</v>
      </c>
      <c r="AK9">
        <v>249596194</v>
      </c>
      <c r="AL9">
        <v>255803349</v>
      </c>
      <c r="AM9">
        <v>261953764</v>
      </c>
      <c r="AN9">
        <v>268158920</v>
      </c>
      <c r="AO9">
        <v>274376380</v>
      </c>
      <c r="AP9">
        <v>280650496</v>
      </c>
      <c r="AQ9">
        <v>287065982</v>
      </c>
      <c r="AR9">
        <v>293512340</v>
      </c>
      <c r="AS9">
        <v>300018650</v>
      </c>
      <c r="AT9">
        <v>306573087</v>
      </c>
      <c r="AU9">
        <v>313249616</v>
      </c>
      <c r="AV9">
        <v>320558754</v>
      </c>
      <c r="AW9">
        <v>328703057</v>
      </c>
      <c r="AX9">
        <v>337498222</v>
      </c>
      <c r="AY9">
        <v>346630443</v>
      </c>
      <c r="AZ9">
        <v>355754908</v>
      </c>
      <c r="BA9">
        <v>364427661</v>
      </c>
      <c r="BB9">
        <v>372351065</v>
      </c>
      <c r="BC9">
        <v>380383408</v>
      </c>
      <c r="BD9">
        <v>389131555</v>
      </c>
      <c r="BE9">
        <v>397922915</v>
      </c>
      <c r="BF9">
        <v>406501999</v>
      </c>
      <c r="BG9">
        <v>415077960</v>
      </c>
      <c r="BH9">
        <v>423664839</v>
      </c>
      <c r="BI9">
        <v>432545676</v>
      </c>
      <c r="BJ9">
        <v>441467739</v>
      </c>
      <c r="BK9">
        <v>449228296</v>
      </c>
      <c r="BL9">
        <v>456520777</v>
      </c>
      <c r="BM9">
        <v>464684914</v>
      </c>
      <c r="BN9">
        <v>473272080</v>
      </c>
    </row>
    <row r="10" spans="1:66" x14ac:dyDescent="0.3">
      <c r="A10" t="s">
        <v>1276</v>
      </c>
      <c r="B10" t="s">
        <v>1277</v>
      </c>
      <c r="C10">
        <v>133426</v>
      </c>
      <c r="D10">
        <v>140984</v>
      </c>
      <c r="E10">
        <v>148877</v>
      </c>
      <c r="F10">
        <v>157006</v>
      </c>
      <c r="G10">
        <v>165305</v>
      </c>
      <c r="H10">
        <v>173797</v>
      </c>
      <c r="I10">
        <v>182509</v>
      </c>
      <c r="J10">
        <v>191404</v>
      </c>
      <c r="K10">
        <v>213582</v>
      </c>
      <c r="L10">
        <v>253261</v>
      </c>
      <c r="M10">
        <v>298084</v>
      </c>
      <c r="N10">
        <v>344513</v>
      </c>
      <c r="O10">
        <v>392368</v>
      </c>
      <c r="P10">
        <v>441546</v>
      </c>
      <c r="Q10">
        <v>491955</v>
      </c>
      <c r="R10">
        <v>543394</v>
      </c>
      <c r="S10">
        <v>614177</v>
      </c>
      <c r="T10">
        <v>706861</v>
      </c>
      <c r="U10">
        <v>805231</v>
      </c>
      <c r="V10">
        <v>908452</v>
      </c>
      <c r="W10">
        <v>1014048</v>
      </c>
      <c r="X10">
        <v>1100180</v>
      </c>
      <c r="Y10">
        <v>1167856</v>
      </c>
      <c r="Z10">
        <v>1237572</v>
      </c>
      <c r="AA10">
        <v>1308331</v>
      </c>
      <c r="AB10">
        <v>1379536</v>
      </c>
      <c r="AC10">
        <v>1468697</v>
      </c>
      <c r="AD10">
        <v>1575909</v>
      </c>
      <c r="AE10">
        <v>1683681</v>
      </c>
      <c r="AF10">
        <v>1791840</v>
      </c>
      <c r="AG10">
        <v>1900151</v>
      </c>
      <c r="AH10">
        <v>2008383</v>
      </c>
      <c r="AI10">
        <v>2116231</v>
      </c>
      <c r="AJ10">
        <v>2223284</v>
      </c>
      <c r="AK10">
        <v>2329024</v>
      </c>
      <c r="AL10">
        <v>2433988</v>
      </c>
      <c r="AM10">
        <v>2572735</v>
      </c>
      <c r="AN10">
        <v>2746119</v>
      </c>
      <c r="AO10">
        <v>2921130</v>
      </c>
      <c r="AP10">
        <v>3097563</v>
      </c>
      <c r="AQ10">
        <v>3275333</v>
      </c>
      <c r="AR10">
        <v>3454198</v>
      </c>
      <c r="AS10">
        <v>3633655</v>
      </c>
      <c r="AT10">
        <v>3813443</v>
      </c>
      <c r="AU10">
        <v>3993339</v>
      </c>
      <c r="AV10">
        <v>4280993</v>
      </c>
      <c r="AW10">
        <v>4898954</v>
      </c>
      <c r="AX10">
        <v>5872624</v>
      </c>
      <c r="AY10">
        <v>6988685</v>
      </c>
      <c r="AZ10">
        <v>7992644</v>
      </c>
      <c r="BA10">
        <v>8481771</v>
      </c>
      <c r="BB10">
        <v>8575205</v>
      </c>
      <c r="BC10">
        <v>8664969</v>
      </c>
      <c r="BD10">
        <v>8751847</v>
      </c>
      <c r="BE10">
        <v>8835951</v>
      </c>
      <c r="BF10">
        <v>8916899</v>
      </c>
      <c r="BG10">
        <v>8994263</v>
      </c>
      <c r="BH10">
        <v>9068296</v>
      </c>
      <c r="BI10">
        <v>9140169</v>
      </c>
      <c r="BJ10">
        <v>9211657</v>
      </c>
      <c r="BK10">
        <v>9287289</v>
      </c>
      <c r="BL10">
        <v>9365145</v>
      </c>
      <c r="BM10">
        <v>9441129</v>
      </c>
      <c r="BN10">
        <v>9516871</v>
      </c>
    </row>
    <row r="11" spans="1:66" x14ac:dyDescent="0.3">
      <c r="A11" t="s">
        <v>1021</v>
      </c>
      <c r="B11" t="s">
        <v>1020</v>
      </c>
      <c r="C11">
        <v>20349744</v>
      </c>
      <c r="D11">
        <v>20680653</v>
      </c>
      <c r="E11">
        <v>21020359</v>
      </c>
      <c r="F11">
        <v>21364017</v>
      </c>
      <c r="G11">
        <v>21708487</v>
      </c>
      <c r="H11">
        <v>22053661</v>
      </c>
      <c r="I11">
        <v>22403116</v>
      </c>
      <c r="J11">
        <v>22757014</v>
      </c>
      <c r="K11">
        <v>23112971</v>
      </c>
      <c r="L11">
        <v>23472028</v>
      </c>
      <c r="M11">
        <v>23842803</v>
      </c>
      <c r="N11">
        <v>24223379</v>
      </c>
      <c r="O11">
        <v>24612794</v>
      </c>
      <c r="P11">
        <v>25020588</v>
      </c>
      <c r="Q11">
        <v>25449754</v>
      </c>
      <c r="R11">
        <v>25875558</v>
      </c>
      <c r="S11">
        <v>26290257</v>
      </c>
      <c r="T11">
        <v>26713780</v>
      </c>
      <c r="U11">
        <v>27146121</v>
      </c>
      <c r="V11">
        <v>27584134</v>
      </c>
      <c r="W11">
        <v>28024803</v>
      </c>
      <c r="X11">
        <v>28471285</v>
      </c>
      <c r="Y11">
        <v>28922762</v>
      </c>
      <c r="Z11">
        <v>29377137</v>
      </c>
      <c r="AA11">
        <v>29832197</v>
      </c>
      <c r="AB11">
        <v>30287112</v>
      </c>
      <c r="AC11">
        <v>30748326</v>
      </c>
      <c r="AD11">
        <v>31216453</v>
      </c>
      <c r="AE11">
        <v>31690792</v>
      </c>
      <c r="AF11">
        <v>32165766</v>
      </c>
      <c r="AG11">
        <v>32637657</v>
      </c>
      <c r="AH11">
        <v>33105763</v>
      </c>
      <c r="AI11">
        <v>33568285</v>
      </c>
      <c r="AJ11">
        <v>34027240</v>
      </c>
      <c r="AK11">
        <v>34488696</v>
      </c>
      <c r="AL11">
        <v>34946110</v>
      </c>
      <c r="AM11">
        <v>35389362</v>
      </c>
      <c r="AN11">
        <v>35815971</v>
      </c>
      <c r="AO11">
        <v>36233195</v>
      </c>
      <c r="AP11">
        <v>36653031</v>
      </c>
      <c r="AQ11">
        <v>37070774</v>
      </c>
      <c r="AR11">
        <v>37480493</v>
      </c>
      <c r="AS11">
        <v>37885028</v>
      </c>
      <c r="AT11">
        <v>38278164</v>
      </c>
      <c r="AU11">
        <v>38668796</v>
      </c>
      <c r="AV11">
        <v>39070501</v>
      </c>
      <c r="AW11">
        <v>39476851</v>
      </c>
      <c r="AX11">
        <v>39876111</v>
      </c>
      <c r="AY11">
        <v>40273769</v>
      </c>
      <c r="AZ11">
        <v>40684338</v>
      </c>
      <c r="BA11">
        <v>40788453</v>
      </c>
      <c r="BB11">
        <v>41261490</v>
      </c>
      <c r="BC11">
        <v>41733271</v>
      </c>
      <c r="BD11">
        <v>42202935</v>
      </c>
      <c r="BE11">
        <v>42669500</v>
      </c>
      <c r="BF11">
        <v>43131966</v>
      </c>
      <c r="BG11">
        <v>43590368</v>
      </c>
      <c r="BH11">
        <v>44044811</v>
      </c>
      <c r="BI11">
        <v>44494502</v>
      </c>
      <c r="BJ11">
        <v>44938712</v>
      </c>
      <c r="BK11">
        <v>45376763</v>
      </c>
      <c r="BL11">
        <v>45808747</v>
      </c>
      <c r="BM11">
        <v>46234830</v>
      </c>
      <c r="BN11">
        <v>46654581</v>
      </c>
    </row>
    <row r="12" spans="1:66" x14ac:dyDescent="0.3">
      <c r="A12" t="s">
        <v>1023</v>
      </c>
      <c r="B12" t="s">
        <v>1022</v>
      </c>
      <c r="C12">
        <v>1904148</v>
      </c>
      <c r="D12">
        <v>1971530</v>
      </c>
      <c r="E12">
        <v>2039346</v>
      </c>
      <c r="F12">
        <v>2106142</v>
      </c>
      <c r="G12">
        <v>2171029</v>
      </c>
      <c r="H12">
        <v>2234051</v>
      </c>
      <c r="I12">
        <v>2295496</v>
      </c>
      <c r="J12">
        <v>2355997</v>
      </c>
      <c r="K12">
        <v>2416461</v>
      </c>
      <c r="L12">
        <v>2476359</v>
      </c>
      <c r="M12">
        <v>2534377</v>
      </c>
      <c r="N12">
        <v>2590923</v>
      </c>
      <c r="O12">
        <v>2648048</v>
      </c>
      <c r="P12">
        <v>2706852</v>
      </c>
      <c r="Q12">
        <v>2767646</v>
      </c>
      <c r="R12">
        <v>2830798</v>
      </c>
      <c r="S12">
        <v>2896311</v>
      </c>
      <c r="T12">
        <v>2965523</v>
      </c>
      <c r="U12">
        <v>3038224</v>
      </c>
      <c r="V12">
        <v>3097058</v>
      </c>
      <c r="W12">
        <v>3135123</v>
      </c>
      <c r="X12">
        <v>3167876</v>
      </c>
      <c r="Y12">
        <v>3202011</v>
      </c>
      <c r="Z12">
        <v>3238291</v>
      </c>
      <c r="AA12">
        <v>3272102</v>
      </c>
      <c r="AB12">
        <v>3300896</v>
      </c>
      <c r="AC12">
        <v>3327182</v>
      </c>
      <c r="AD12">
        <v>3351364</v>
      </c>
      <c r="AE12">
        <v>3366838</v>
      </c>
      <c r="AF12">
        <v>3448186</v>
      </c>
      <c r="AG12">
        <v>3556539</v>
      </c>
      <c r="AH12">
        <v>3617631</v>
      </c>
      <c r="AI12">
        <v>3574555</v>
      </c>
      <c r="AJ12">
        <v>3457349</v>
      </c>
      <c r="AK12">
        <v>3373713</v>
      </c>
      <c r="AL12">
        <v>3322782</v>
      </c>
      <c r="AM12">
        <v>3298898</v>
      </c>
      <c r="AN12">
        <v>3271418</v>
      </c>
      <c r="AO12">
        <v>3240550</v>
      </c>
      <c r="AP12">
        <v>3206030</v>
      </c>
      <c r="AQ12">
        <v>3168523</v>
      </c>
      <c r="AR12">
        <v>3133133</v>
      </c>
      <c r="AS12">
        <v>3105037</v>
      </c>
      <c r="AT12">
        <v>3084102</v>
      </c>
      <c r="AU12">
        <v>3065745</v>
      </c>
      <c r="AV12">
        <v>3047246</v>
      </c>
      <c r="AW12">
        <v>3026486</v>
      </c>
      <c r="AX12">
        <v>3004393</v>
      </c>
      <c r="AY12">
        <v>2983421</v>
      </c>
      <c r="AZ12">
        <v>2964296</v>
      </c>
      <c r="BA12">
        <v>2946293</v>
      </c>
      <c r="BB12">
        <v>2928976</v>
      </c>
      <c r="BC12">
        <v>2914421</v>
      </c>
      <c r="BD12">
        <v>2901385</v>
      </c>
      <c r="BE12">
        <v>2889930</v>
      </c>
      <c r="BF12">
        <v>2878595</v>
      </c>
      <c r="BG12">
        <v>2865835</v>
      </c>
      <c r="BH12">
        <v>2851923</v>
      </c>
      <c r="BI12">
        <v>2836557</v>
      </c>
      <c r="BJ12">
        <v>2820602</v>
      </c>
      <c r="BK12">
        <v>2805608</v>
      </c>
      <c r="BL12">
        <v>2790974</v>
      </c>
      <c r="BM12">
        <v>2780469</v>
      </c>
      <c r="BN12">
        <v>2777970</v>
      </c>
    </row>
    <row r="13" spans="1:66" x14ac:dyDescent="0.3">
      <c r="A13" t="s">
        <v>1027</v>
      </c>
      <c r="B13" t="s">
        <v>1278</v>
      </c>
      <c r="C13">
        <v>20085</v>
      </c>
      <c r="D13">
        <v>20626</v>
      </c>
      <c r="E13">
        <v>21272</v>
      </c>
      <c r="F13">
        <v>21949</v>
      </c>
      <c r="G13">
        <v>22656</v>
      </c>
      <c r="H13">
        <v>23391</v>
      </c>
      <c r="I13">
        <v>24122</v>
      </c>
      <c r="J13">
        <v>24848</v>
      </c>
      <c r="K13">
        <v>25608</v>
      </c>
      <c r="L13">
        <v>26396</v>
      </c>
      <c r="M13">
        <v>27075</v>
      </c>
      <c r="N13">
        <v>27593</v>
      </c>
      <c r="O13">
        <v>28063</v>
      </c>
      <c r="P13">
        <v>28529</v>
      </c>
      <c r="Q13">
        <v>29012</v>
      </c>
      <c r="R13">
        <v>29573</v>
      </c>
      <c r="S13">
        <v>30198</v>
      </c>
      <c r="T13">
        <v>30816</v>
      </c>
      <c r="U13">
        <v>31428</v>
      </c>
      <c r="V13">
        <v>32045</v>
      </c>
      <c r="W13">
        <v>32886</v>
      </c>
      <c r="X13">
        <v>34059</v>
      </c>
      <c r="Y13">
        <v>35367</v>
      </c>
      <c r="Z13">
        <v>36735</v>
      </c>
      <c r="AA13">
        <v>38168</v>
      </c>
      <c r="AB13">
        <v>39663</v>
      </c>
      <c r="AC13">
        <v>41221</v>
      </c>
      <c r="AD13">
        <v>42842</v>
      </c>
      <c r="AE13">
        <v>44532</v>
      </c>
      <c r="AF13">
        <v>46288</v>
      </c>
      <c r="AG13">
        <v>47818</v>
      </c>
      <c r="AH13">
        <v>48992</v>
      </c>
      <c r="AI13">
        <v>50078</v>
      </c>
      <c r="AJ13">
        <v>51174</v>
      </c>
      <c r="AK13">
        <v>52288</v>
      </c>
      <c r="AL13">
        <v>53401</v>
      </c>
      <c r="AM13">
        <v>54500</v>
      </c>
      <c r="AN13">
        <v>55578</v>
      </c>
      <c r="AO13">
        <v>56603</v>
      </c>
      <c r="AP13">
        <v>57594</v>
      </c>
      <c r="AQ13">
        <v>58230</v>
      </c>
      <c r="AR13">
        <v>58324</v>
      </c>
      <c r="AS13">
        <v>58177</v>
      </c>
      <c r="AT13">
        <v>57941</v>
      </c>
      <c r="AU13">
        <v>57626</v>
      </c>
      <c r="AV13">
        <v>57254</v>
      </c>
      <c r="AW13">
        <v>56837</v>
      </c>
      <c r="AX13">
        <v>56383</v>
      </c>
      <c r="AY13">
        <v>55891</v>
      </c>
      <c r="AZ13">
        <v>55366</v>
      </c>
      <c r="BA13">
        <v>54849</v>
      </c>
      <c r="BB13">
        <v>54310</v>
      </c>
      <c r="BC13">
        <v>53691</v>
      </c>
      <c r="BD13">
        <v>52995</v>
      </c>
      <c r="BE13">
        <v>52217</v>
      </c>
      <c r="BF13">
        <v>51368</v>
      </c>
      <c r="BG13">
        <v>50448</v>
      </c>
      <c r="BH13">
        <v>49463</v>
      </c>
      <c r="BI13">
        <v>48424</v>
      </c>
      <c r="BJ13">
        <v>47321</v>
      </c>
      <c r="BK13">
        <v>46189</v>
      </c>
      <c r="BL13">
        <v>45035</v>
      </c>
      <c r="BM13">
        <v>44273</v>
      </c>
      <c r="BN13">
        <v>43914</v>
      </c>
    </row>
    <row r="14" spans="1:66" x14ac:dyDescent="0.3">
      <c r="A14" t="s">
        <v>1016</v>
      </c>
      <c r="B14" t="s">
        <v>1279</v>
      </c>
      <c r="C14">
        <v>55342</v>
      </c>
      <c r="D14">
        <v>56245</v>
      </c>
      <c r="E14">
        <v>57008</v>
      </c>
      <c r="F14">
        <v>57778</v>
      </c>
      <c r="G14">
        <v>58664</v>
      </c>
      <c r="H14">
        <v>59644</v>
      </c>
      <c r="I14">
        <v>60615</v>
      </c>
      <c r="J14">
        <v>61617</v>
      </c>
      <c r="K14">
        <v>62658</v>
      </c>
      <c r="L14">
        <v>63742</v>
      </c>
      <c r="M14">
        <v>64517</v>
      </c>
      <c r="N14">
        <v>64769</v>
      </c>
      <c r="O14">
        <v>64695</v>
      </c>
      <c r="P14">
        <v>64463</v>
      </c>
      <c r="Q14">
        <v>64218</v>
      </c>
      <c r="R14">
        <v>64035</v>
      </c>
      <c r="S14">
        <v>63990</v>
      </c>
      <c r="T14">
        <v>64117</v>
      </c>
      <c r="U14">
        <v>64329</v>
      </c>
      <c r="V14">
        <v>64609</v>
      </c>
      <c r="W14">
        <v>64889</v>
      </c>
      <c r="X14">
        <v>65076</v>
      </c>
      <c r="Y14">
        <v>65231</v>
      </c>
      <c r="Z14">
        <v>65408</v>
      </c>
      <c r="AA14">
        <v>65362</v>
      </c>
      <c r="AB14">
        <v>65048</v>
      </c>
      <c r="AC14">
        <v>64712</v>
      </c>
      <c r="AD14">
        <v>64353</v>
      </c>
      <c r="AE14">
        <v>63982</v>
      </c>
      <c r="AF14">
        <v>63636</v>
      </c>
      <c r="AG14">
        <v>63328</v>
      </c>
      <c r="AH14">
        <v>63634</v>
      </c>
      <c r="AI14">
        <v>64659</v>
      </c>
      <c r="AJ14">
        <v>65834</v>
      </c>
      <c r="AK14">
        <v>67072</v>
      </c>
      <c r="AL14">
        <v>68398</v>
      </c>
      <c r="AM14">
        <v>69798</v>
      </c>
      <c r="AN14">
        <v>71218</v>
      </c>
      <c r="AO14">
        <v>72572</v>
      </c>
      <c r="AP14">
        <v>73821</v>
      </c>
      <c r="AQ14">
        <v>75055</v>
      </c>
      <c r="AR14">
        <v>76215</v>
      </c>
      <c r="AS14">
        <v>77195</v>
      </c>
      <c r="AT14">
        <v>78075</v>
      </c>
      <c r="AU14">
        <v>78941</v>
      </c>
      <c r="AV14">
        <v>79869</v>
      </c>
      <c r="AW14">
        <v>80895</v>
      </c>
      <c r="AX14">
        <v>82016</v>
      </c>
      <c r="AY14">
        <v>83251</v>
      </c>
      <c r="AZ14">
        <v>84534</v>
      </c>
      <c r="BA14">
        <v>85695</v>
      </c>
      <c r="BB14">
        <v>86729</v>
      </c>
      <c r="BC14">
        <v>87674</v>
      </c>
      <c r="BD14">
        <v>88497</v>
      </c>
      <c r="BE14">
        <v>89236</v>
      </c>
      <c r="BF14">
        <v>89941</v>
      </c>
      <c r="BG14">
        <v>90564</v>
      </c>
      <c r="BH14">
        <v>91119</v>
      </c>
      <c r="BI14">
        <v>91626</v>
      </c>
      <c r="BJ14">
        <v>92117</v>
      </c>
      <c r="BK14">
        <v>92664</v>
      </c>
      <c r="BL14">
        <v>93219</v>
      </c>
      <c r="BM14">
        <v>93763</v>
      </c>
      <c r="BN14">
        <v>94298</v>
      </c>
    </row>
    <row r="15" spans="1:66" x14ac:dyDescent="0.3">
      <c r="A15" t="s">
        <v>1018</v>
      </c>
      <c r="B15" t="s">
        <v>968</v>
      </c>
      <c r="C15">
        <v>10276477</v>
      </c>
      <c r="D15">
        <v>10483000</v>
      </c>
      <c r="E15">
        <v>10742000</v>
      </c>
      <c r="F15">
        <v>10950000</v>
      </c>
      <c r="G15">
        <v>11167000</v>
      </c>
      <c r="H15">
        <v>11388000</v>
      </c>
      <c r="I15">
        <v>11651000</v>
      </c>
      <c r="J15">
        <v>11799000</v>
      </c>
      <c r="K15">
        <v>12009000</v>
      </c>
      <c r="L15">
        <v>12263000</v>
      </c>
      <c r="M15">
        <v>12507000</v>
      </c>
      <c r="N15">
        <v>12937000</v>
      </c>
      <c r="O15">
        <v>13177000</v>
      </c>
      <c r="P15">
        <v>13380000</v>
      </c>
      <c r="Q15">
        <v>13723000</v>
      </c>
      <c r="R15">
        <v>13893000</v>
      </c>
      <c r="S15">
        <v>14033000</v>
      </c>
      <c r="T15">
        <v>14192000</v>
      </c>
      <c r="U15">
        <v>14358000</v>
      </c>
      <c r="V15">
        <v>14514000</v>
      </c>
      <c r="W15">
        <v>14692000</v>
      </c>
      <c r="X15">
        <v>14923260</v>
      </c>
      <c r="Y15">
        <v>15184247</v>
      </c>
      <c r="Z15">
        <v>15393472</v>
      </c>
      <c r="AA15">
        <v>15579391</v>
      </c>
      <c r="AB15">
        <v>15788312</v>
      </c>
      <c r="AC15">
        <v>16018350</v>
      </c>
      <c r="AD15">
        <v>16263874</v>
      </c>
      <c r="AE15">
        <v>16532164</v>
      </c>
      <c r="AF15">
        <v>16814416</v>
      </c>
      <c r="AG15">
        <v>17065128</v>
      </c>
      <c r="AH15">
        <v>17284036</v>
      </c>
      <c r="AI15">
        <v>17478635</v>
      </c>
      <c r="AJ15">
        <v>17634808</v>
      </c>
      <c r="AK15">
        <v>17805468</v>
      </c>
      <c r="AL15">
        <v>18004882</v>
      </c>
      <c r="AM15">
        <v>18224767</v>
      </c>
      <c r="AN15">
        <v>18423037</v>
      </c>
      <c r="AO15">
        <v>18607584</v>
      </c>
      <c r="AP15">
        <v>18812264</v>
      </c>
      <c r="AQ15">
        <v>19028802</v>
      </c>
      <c r="AR15">
        <v>19274701</v>
      </c>
      <c r="AS15">
        <v>19495210</v>
      </c>
      <c r="AT15">
        <v>19720737</v>
      </c>
      <c r="AU15">
        <v>19932722</v>
      </c>
      <c r="AV15">
        <v>20176844</v>
      </c>
      <c r="AW15">
        <v>20450966</v>
      </c>
      <c r="AX15">
        <v>20827622</v>
      </c>
      <c r="AY15">
        <v>21249199</v>
      </c>
      <c r="AZ15">
        <v>21691653</v>
      </c>
      <c r="BA15">
        <v>22031750</v>
      </c>
      <c r="BB15">
        <v>22340024</v>
      </c>
      <c r="BC15">
        <v>22733465</v>
      </c>
      <c r="BD15">
        <v>23128129</v>
      </c>
      <c r="BE15">
        <v>23475686</v>
      </c>
      <c r="BF15">
        <v>23815995</v>
      </c>
      <c r="BG15">
        <v>24190907</v>
      </c>
      <c r="BH15">
        <v>24592588</v>
      </c>
      <c r="BI15">
        <v>24963258</v>
      </c>
      <c r="BJ15">
        <v>25334826</v>
      </c>
      <c r="BK15">
        <v>25649248</v>
      </c>
      <c r="BL15">
        <v>25685412</v>
      </c>
      <c r="BM15">
        <v>26014399</v>
      </c>
      <c r="BN15">
        <v>26638544</v>
      </c>
    </row>
    <row r="16" spans="1:66" x14ac:dyDescent="0.3">
      <c r="A16" t="s">
        <v>1029</v>
      </c>
      <c r="B16" t="s">
        <v>1028</v>
      </c>
      <c r="C16">
        <v>7047539</v>
      </c>
      <c r="D16">
        <v>7086299</v>
      </c>
      <c r="E16">
        <v>7129864</v>
      </c>
      <c r="F16">
        <v>7175811</v>
      </c>
      <c r="G16">
        <v>7223801</v>
      </c>
      <c r="H16">
        <v>7270889</v>
      </c>
      <c r="I16">
        <v>7322066</v>
      </c>
      <c r="J16">
        <v>7376998</v>
      </c>
      <c r="K16">
        <v>7415403</v>
      </c>
      <c r="L16">
        <v>7441055</v>
      </c>
      <c r="M16">
        <v>7467086</v>
      </c>
      <c r="N16">
        <v>7500482</v>
      </c>
      <c r="O16">
        <v>7544201</v>
      </c>
      <c r="P16">
        <v>7586115</v>
      </c>
      <c r="Q16">
        <v>7599038</v>
      </c>
      <c r="R16">
        <v>7578903</v>
      </c>
      <c r="S16">
        <v>7565525</v>
      </c>
      <c r="T16">
        <v>7568430</v>
      </c>
      <c r="U16">
        <v>7562305</v>
      </c>
      <c r="V16">
        <v>7549425</v>
      </c>
      <c r="W16">
        <v>7549433</v>
      </c>
      <c r="X16">
        <v>7568710</v>
      </c>
      <c r="Y16">
        <v>7574140</v>
      </c>
      <c r="Z16">
        <v>7561910</v>
      </c>
      <c r="AA16">
        <v>7561434</v>
      </c>
      <c r="AB16">
        <v>7564985</v>
      </c>
      <c r="AC16">
        <v>7569794</v>
      </c>
      <c r="AD16">
        <v>7574586</v>
      </c>
      <c r="AE16">
        <v>7585317</v>
      </c>
      <c r="AF16">
        <v>7619567</v>
      </c>
      <c r="AG16">
        <v>7677850</v>
      </c>
      <c r="AH16">
        <v>7754891</v>
      </c>
      <c r="AI16">
        <v>7840709</v>
      </c>
      <c r="AJ16">
        <v>7905633</v>
      </c>
      <c r="AK16">
        <v>7936118</v>
      </c>
      <c r="AL16">
        <v>7948278</v>
      </c>
      <c r="AM16">
        <v>7959017</v>
      </c>
      <c r="AN16">
        <v>7968041</v>
      </c>
      <c r="AO16">
        <v>7976789</v>
      </c>
      <c r="AP16">
        <v>7992324</v>
      </c>
      <c r="AQ16">
        <v>8011566</v>
      </c>
      <c r="AR16">
        <v>8042293</v>
      </c>
      <c r="AS16">
        <v>8081957</v>
      </c>
      <c r="AT16">
        <v>8121423</v>
      </c>
      <c r="AU16">
        <v>8171966</v>
      </c>
      <c r="AV16">
        <v>8227829</v>
      </c>
      <c r="AW16">
        <v>8268641</v>
      </c>
      <c r="AX16">
        <v>8295487</v>
      </c>
      <c r="AY16">
        <v>8321496</v>
      </c>
      <c r="AZ16">
        <v>8343323</v>
      </c>
      <c r="BA16">
        <v>8363404</v>
      </c>
      <c r="BB16">
        <v>8391643</v>
      </c>
      <c r="BC16">
        <v>8429991</v>
      </c>
      <c r="BD16">
        <v>8479823</v>
      </c>
      <c r="BE16">
        <v>8546356</v>
      </c>
      <c r="BF16">
        <v>8642699</v>
      </c>
      <c r="BG16">
        <v>8736668</v>
      </c>
      <c r="BH16">
        <v>8797566</v>
      </c>
      <c r="BI16">
        <v>8840521</v>
      </c>
      <c r="BJ16">
        <v>8879920</v>
      </c>
      <c r="BK16">
        <v>8916864</v>
      </c>
      <c r="BL16">
        <v>8955797</v>
      </c>
      <c r="BM16">
        <v>9041851</v>
      </c>
      <c r="BN16">
        <v>9132383</v>
      </c>
    </row>
    <row r="17" spans="1:66" x14ac:dyDescent="0.3">
      <c r="A17" t="s">
        <v>1031</v>
      </c>
      <c r="B17" t="s">
        <v>1030</v>
      </c>
      <c r="C17">
        <v>3894500</v>
      </c>
      <c r="D17">
        <v>4045750</v>
      </c>
      <c r="E17">
        <v>4168150</v>
      </c>
      <c r="F17">
        <v>4293550</v>
      </c>
      <c r="G17">
        <v>4439250</v>
      </c>
      <c r="H17">
        <v>4574650</v>
      </c>
      <c r="I17">
        <v>4708150</v>
      </c>
      <c r="J17">
        <v>4832000</v>
      </c>
      <c r="K17">
        <v>4948500</v>
      </c>
      <c r="L17">
        <v>5063300</v>
      </c>
      <c r="M17">
        <v>5172050</v>
      </c>
      <c r="N17">
        <v>5282950</v>
      </c>
      <c r="O17">
        <v>5391450</v>
      </c>
      <c r="P17">
        <v>5493900</v>
      </c>
      <c r="Q17">
        <v>5594100</v>
      </c>
      <c r="R17">
        <v>5689050</v>
      </c>
      <c r="S17">
        <v>5781000</v>
      </c>
      <c r="T17">
        <v>5876150</v>
      </c>
      <c r="U17">
        <v>5976150</v>
      </c>
      <c r="V17">
        <v>6071300</v>
      </c>
      <c r="W17">
        <v>6160500</v>
      </c>
      <c r="X17">
        <v>6257750</v>
      </c>
      <c r="Y17">
        <v>6357550</v>
      </c>
      <c r="Z17">
        <v>6459800</v>
      </c>
      <c r="AA17">
        <v>6567850</v>
      </c>
      <c r="AB17">
        <v>6670150</v>
      </c>
      <c r="AC17">
        <v>6770300</v>
      </c>
      <c r="AD17">
        <v>6875350</v>
      </c>
      <c r="AE17">
        <v>6974600</v>
      </c>
      <c r="AF17">
        <v>7076550</v>
      </c>
      <c r="AG17">
        <v>7175200</v>
      </c>
      <c r="AH17">
        <v>7271300</v>
      </c>
      <c r="AI17">
        <v>7382050</v>
      </c>
      <c r="AJ17">
        <v>7494800</v>
      </c>
      <c r="AK17">
        <v>7596550</v>
      </c>
      <c r="AL17">
        <v>7684850</v>
      </c>
      <c r="AM17">
        <v>7763000</v>
      </c>
      <c r="AN17">
        <v>7838250</v>
      </c>
      <c r="AO17">
        <v>7913000</v>
      </c>
      <c r="AP17">
        <v>7982750</v>
      </c>
      <c r="AQ17">
        <v>8048600</v>
      </c>
      <c r="AR17">
        <v>8111200</v>
      </c>
      <c r="AS17">
        <v>8171950</v>
      </c>
      <c r="AT17">
        <v>8234100</v>
      </c>
      <c r="AU17">
        <v>8306500</v>
      </c>
      <c r="AV17">
        <v>8391850</v>
      </c>
      <c r="AW17">
        <v>8484550</v>
      </c>
      <c r="AX17">
        <v>8581300</v>
      </c>
      <c r="AY17">
        <v>8763400</v>
      </c>
      <c r="AZ17">
        <v>8947243</v>
      </c>
      <c r="BA17">
        <v>9054332</v>
      </c>
      <c r="BB17">
        <v>9173082</v>
      </c>
      <c r="BC17">
        <v>9295784</v>
      </c>
      <c r="BD17">
        <v>9416801</v>
      </c>
      <c r="BE17">
        <v>9535079</v>
      </c>
      <c r="BF17">
        <v>9649341</v>
      </c>
      <c r="BG17">
        <v>9757812</v>
      </c>
      <c r="BH17">
        <v>9854033</v>
      </c>
      <c r="BI17">
        <v>9939771</v>
      </c>
      <c r="BJ17">
        <v>10024283</v>
      </c>
      <c r="BK17">
        <v>10093121</v>
      </c>
      <c r="BL17">
        <v>10137750</v>
      </c>
      <c r="BM17">
        <v>10141756</v>
      </c>
      <c r="BN17">
        <v>10112555</v>
      </c>
    </row>
    <row r="18" spans="1:66" x14ac:dyDescent="0.3">
      <c r="A18" t="s">
        <v>1039</v>
      </c>
      <c r="B18" t="s">
        <v>1038</v>
      </c>
      <c r="C18">
        <v>2746628</v>
      </c>
      <c r="D18">
        <v>2815972</v>
      </c>
      <c r="E18">
        <v>2887398</v>
      </c>
      <c r="F18">
        <v>2948133</v>
      </c>
      <c r="G18">
        <v>3033221</v>
      </c>
      <c r="H18">
        <v>3118134</v>
      </c>
      <c r="I18">
        <v>3193378</v>
      </c>
      <c r="J18">
        <v>3274493</v>
      </c>
      <c r="K18">
        <v>3352397</v>
      </c>
      <c r="L18">
        <v>3424429</v>
      </c>
      <c r="M18">
        <v>3497834</v>
      </c>
      <c r="N18">
        <v>3582070</v>
      </c>
      <c r="O18">
        <v>3579195</v>
      </c>
      <c r="P18">
        <v>3571450</v>
      </c>
      <c r="Q18">
        <v>3660032</v>
      </c>
      <c r="R18">
        <v>3749232</v>
      </c>
      <c r="S18">
        <v>3830889</v>
      </c>
      <c r="T18">
        <v>3927428</v>
      </c>
      <c r="U18">
        <v>4039410</v>
      </c>
      <c r="V18">
        <v>4137437</v>
      </c>
      <c r="W18">
        <v>4312834</v>
      </c>
      <c r="X18">
        <v>4490743</v>
      </c>
      <c r="Y18">
        <v>4602271</v>
      </c>
      <c r="Z18">
        <v>4726506</v>
      </c>
      <c r="AA18">
        <v>4842268</v>
      </c>
      <c r="AB18">
        <v>4948024</v>
      </c>
      <c r="AC18">
        <v>5041706</v>
      </c>
      <c r="AD18">
        <v>5157769</v>
      </c>
      <c r="AE18">
        <v>5271840</v>
      </c>
      <c r="AF18">
        <v>5373697</v>
      </c>
      <c r="AG18">
        <v>5483793</v>
      </c>
      <c r="AH18">
        <v>5594828</v>
      </c>
      <c r="AI18">
        <v>5743085</v>
      </c>
      <c r="AJ18">
        <v>5555220</v>
      </c>
      <c r="AK18">
        <v>5586408</v>
      </c>
      <c r="AL18">
        <v>5932783</v>
      </c>
      <c r="AM18">
        <v>5930507</v>
      </c>
      <c r="AN18">
        <v>5923862</v>
      </c>
      <c r="AO18">
        <v>6035340</v>
      </c>
      <c r="AP18">
        <v>6180180</v>
      </c>
      <c r="AQ18">
        <v>6307659</v>
      </c>
      <c r="AR18">
        <v>6465729</v>
      </c>
      <c r="AS18">
        <v>6648938</v>
      </c>
      <c r="AT18">
        <v>6860846</v>
      </c>
      <c r="AU18">
        <v>7120496</v>
      </c>
      <c r="AV18">
        <v>7388874</v>
      </c>
      <c r="AW18">
        <v>7658190</v>
      </c>
      <c r="AX18">
        <v>7944609</v>
      </c>
      <c r="AY18">
        <v>8278109</v>
      </c>
      <c r="AZ18">
        <v>8709366</v>
      </c>
      <c r="BA18">
        <v>9126605</v>
      </c>
      <c r="BB18">
        <v>9455733</v>
      </c>
      <c r="BC18">
        <v>9795479</v>
      </c>
      <c r="BD18">
        <v>10149577</v>
      </c>
      <c r="BE18">
        <v>10494913</v>
      </c>
      <c r="BF18">
        <v>10727148</v>
      </c>
      <c r="BG18">
        <v>10903327</v>
      </c>
      <c r="BH18">
        <v>11155593</v>
      </c>
      <c r="BI18">
        <v>11493472</v>
      </c>
      <c r="BJ18">
        <v>11874838</v>
      </c>
      <c r="BK18">
        <v>12220227</v>
      </c>
      <c r="BL18">
        <v>12551213</v>
      </c>
      <c r="BM18">
        <v>12889576</v>
      </c>
      <c r="BN18">
        <v>13238559</v>
      </c>
    </row>
    <row r="19" spans="1:66" x14ac:dyDescent="0.3">
      <c r="A19" t="s">
        <v>1041</v>
      </c>
      <c r="B19" t="s">
        <v>1040</v>
      </c>
      <c r="C19">
        <v>9153489</v>
      </c>
      <c r="D19">
        <v>9183948</v>
      </c>
      <c r="E19">
        <v>9220578</v>
      </c>
      <c r="F19">
        <v>9289770</v>
      </c>
      <c r="G19">
        <v>9378113</v>
      </c>
      <c r="H19">
        <v>9463667</v>
      </c>
      <c r="I19">
        <v>9527807</v>
      </c>
      <c r="J19">
        <v>9580991</v>
      </c>
      <c r="K19">
        <v>9618756</v>
      </c>
      <c r="L19">
        <v>9646032</v>
      </c>
      <c r="M19">
        <v>9655549</v>
      </c>
      <c r="N19">
        <v>9673162</v>
      </c>
      <c r="O19">
        <v>9711115</v>
      </c>
      <c r="P19">
        <v>9741720</v>
      </c>
      <c r="Q19">
        <v>9772419</v>
      </c>
      <c r="R19">
        <v>9800700</v>
      </c>
      <c r="S19">
        <v>9818227</v>
      </c>
      <c r="T19">
        <v>9830358</v>
      </c>
      <c r="U19">
        <v>9839534</v>
      </c>
      <c r="V19">
        <v>9848382</v>
      </c>
      <c r="W19">
        <v>9859242</v>
      </c>
      <c r="X19">
        <v>9858982</v>
      </c>
      <c r="Y19">
        <v>9856303</v>
      </c>
      <c r="Z19">
        <v>9855520</v>
      </c>
      <c r="AA19">
        <v>9855372</v>
      </c>
      <c r="AB19">
        <v>9858308</v>
      </c>
      <c r="AC19">
        <v>9861823</v>
      </c>
      <c r="AD19">
        <v>9870234</v>
      </c>
      <c r="AE19">
        <v>9901664</v>
      </c>
      <c r="AF19">
        <v>9937697</v>
      </c>
      <c r="AG19">
        <v>9967379</v>
      </c>
      <c r="AH19">
        <v>10004486</v>
      </c>
      <c r="AI19">
        <v>10045158</v>
      </c>
      <c r="AJ19">
        <v>10084475</v>
      </c>
      <c r="AK19">
        <v>10115603</v>
      </c>
      <c r="AL19">
        <v>10136811</v>
      </c>
      <c r="AM19">
        <v>10156637</v>
      </c>
      <c r="AN19">
        <v>10181245</v>
      </c>
      <c r="AO19">
        <v>10203008</v>
      </c>
      <c r="AP19">
        <v>10226419</v>
      </c>
      <c r="AQ19">
        <v>10251250</v>
      </c>
      <c r="AR19">
        <v>10286570</v>
      </c>
      <c r="AS19">
        <v>10332785</v>
      </c>
      <c r="AT19">
        <v>10376133</v>
      </c>
      <c r="AU19">
        <v>10421137</v>
      </c>
      <c r="AV19">
        <v>10478617</v>
      </c>
      <c r="AW19">
        <v>10547958</v>
      </c>
      <c r="AX19">
        <v>10625700</v>
      </c>
      <c r="AY19">
        <v>10709973</v>
      </c>
      <c r="AZ19">
        <v>10796493</v>
      </c>
      <c r="BA19">
        <v>10895586</v>
      </c>
      <c r="BB19">
        <v>11038264</v>
      </c>
      <c r="BC19">
        <v>11106932</v>
      </c>
      <c r="BD19">
        <v>11159407</v>
      </c>
      <c r="BE19">
        <v>11209057</v>
      </c>
      <c r="BF19">
        <v>11274196</v>
      </c>
      <c r="BG19">
        <v>11331422</v>
      </c>
      <c r="BH19">
        <v>11375158</v>
      </c>
      <c r="BI19">
        <v>11427054</v>
      </c>
      <c r="BJ19">
        <v>11488980</v>
      </c>
      <c r="BK19">
        <v>11538604</v>
      </c>
      <c r="BL19">
        <v>11586195</v>
      </c>
      <c r="BM19">
        <v>11685814</v>
      </c>
      <c r="BN19">
        <v>11822592</v>
      </c>
    </row>
    <row r="20" spans="1:66" x14ac:dyDescent="0.3">
      <c r="A20" t="s">
        <v>1043</v>
      </c>
      <c r="B20" t="s">
        <v>1042</v>
      </c>
      <c r="C20">
        <v>2512284</v>
      </c>
      <c r="D20">
        <v>2551216</v>
      </c>
      <c r="E20">
        <v>2593302</v>
      </c>
      <c r="F20">
        <v>2638082</v>
      </c>
      <c r="G20">
        <v>2685619</v>
      </c>
      <c r="H20">
        <v>2735843</v>
      </c>
      <c r="I20">
        <v>2788642</v>
      </c>
      <c r="J20">
        <v>2843739</v>
      </c>
      <c r="K20">
        <v>2901218</v>
      </c>
      <c r="L20">
        <v>2961166</v>
      </c>
      <c r="M20">
        <v>3023443</v>
      </c>
      <c r="N20">
        <v>3088381</v>
      </c>
      <c r="O20">
        <v>3156408</v>
      </c>
      <c r="P20">
        <v>3227380</v>
      </c>
      <c r="Q20">
        <v>3301276</v>
      </c>
      <c r="R20">
        <v>3378703</v>
      </c>
      <c r="S20">
        <v>3460329</v>
      </c>
      <c r="T20">
        <v>3546454</v>
      </c>
      <c r="U20">
        <v>3636927</v>
      </c>
      <c r="V20">
        <v>3732394</v>
      </c>
      <c r="W20">
        <v>3833939</v>
      </c>
      <c r="X20">
        <v>3941569</v>
      </c>
      <c r="Y20">
        <v>4054385</v>
      </c>
      <c r="Z20">
        <v>4171526</v>
      </c>
      <c r="AA20">
        <v>4293070</v>
      </c>
      <c r="AB20">
        <v>4419552</v>
      </c>
      <c r="AC20">
        <v>4551382</v>
      </c>
      <c r="AD20">
        <v>4688787</v>
      </c>
      <c r="AE20">
        <v>4831624</v>
      </c>
      <c r="AF20">
        <v>4979680</v>
      </c>
      <c r="AG20">
        <v>5133419</v>
      </c>
      <c r="AH20">
        <v>5293046</v>
      </c>
      <c r="AI20">
        <v>5457778</v>
      </c>
      <c r="AJ20">
        <v>5706181</v>
      </c>
      <c r="AK20">
        <v>5923394</v>
      </c>
      <c r="AL20">
        <v>6046511</v>
      </c>
      <c r="AM20">
        <v>6203860</v>
      </c>
      <c r="AN20">
        <v>6387026</v>
      </c>
      <c r="AO20">
        <v>6584183</v>
      </c>
      <c r="AP20">
        <v>6788589</v>
      </c>
      <c r="AQ20">
        <v>6998023</v>
      </c>
      <c r="AR20">
        <v>7212041</v>
      </c>
      <c r="AS20">
        <v>7431783</v>
      </c>
      <c r="AT20">
        <v>7659208</v>
      </c>
      <c r="AU20">
        <v>7894554</v>
      </c>
      <c r="AV20">
        <v>8149419</v>
      </c>
      <c r="AW20">
        <v>8402631</v>
      </c>
      <c r="AX20">
        <v>8647761</v>
      </c>
      <c r="AY20">
        <v>8906469</v>
      </c>
      <c r="AZ20">
        <v>9172514</v>
      </c>
      <c r="BA20">
        <v>9445710</v>
      </c>
      <c r="BB20">
        <v>9726380</v>
      </c>
      <c r="BC20">
        <v>10014078</v>
      </c>
      <c r="BD20">
        <v>10308730</v>
      </c>
      <c r="BE20">
        <v>10614844</v>
      </c>
      <c r="BF20">
        <v>10932783</v>
      </c>
      <c r="BG20">
        <v>11260085</v>
      </c>
      <c r="BH20">
        <v>11596779</v>
      </c>
      <c r="BI20">
        <v>11940683</v>
      </c>
      <c r="BJ20">
        <v>12290444</v>
      </c>
      <c r="BK20">
        <v>12643123</v>
      </c>
      <c r="BL20">
        <v>12996895</v>
      </c>
      <c r="BM20">
        <v>13352864</v>
      </c>
      <c r="BN20">
        <v>13712828</v>
      </c>
    </row>
    <row r="21" spans="1:66" x14ac:dyDescent="0.3">
      <c r="A21" t="s">
        <v>1070</v>
      </c>
      <c r="B21" t="s">
        <v>1280</v>
      </c>
      <c r="C21">
        <v>4783259</v>
      </c>
      <c r="D21">
        <v>4852833</v>
      </c>
      <c r="E21">
        <v>4924497</v>
      </c>
      <c r="F21">
        <v>4998671</v>
      </c>
      <c r="G21">
        <v>5076111</v>
      </c>
      <c r="H21">
        <v>5157929</v>
      </c>
      <c r="I21">
        <v>5242797</v>
      </c>
      <c r="J21">
        <v>5330613</v>
      </c>
      <c r="K21">
        <v>5422119</v>
      </c>
      <c r="L21">
        <v>5515747</v>
      </c>
      <c r="M21">
        <v>5611666</v>
      </c>
      <c r="N21">
        <v>5707793</v>
      </c>
      <c r="O21">
        <v>5805283</v>
      </c>
      <c r="P21">
        <v>5907742</v>
      </c>
      <c r="Q21">
        <v>6018141</v>
      </c>
      <c r="R21">
        <v>6138444</v>
      </c>
      <c r="S21">
        <v>6269765</v>
      </c>
      <c r="T21">
        <v>6416569</v>
      </c>
      <c r="U21">
        <v>6577779</v>
      </c>
      <c r="V21">
        <v>6749939</v>
      </c>
      <c r="W21">
        <v>6932967</v>
      </c>
      <c r="X21">
        <v>7123730</v>
      </c>
      <c r="Y21">
        <v>7321817</v>
      </c>
      <c r="Z21">
        <v>7531184</v>
      </c>
      <c r="AA21">
        <v>7751476</v>
      </c>
      <c r="AB21">
        <v>7979185</v>
      </c>
      <c r="AC21">
        <v>8207827</v>
      </c>
      <c r="AD21">
        <v>8434996</v>
      </c>
      <c r="AE21">
        <v>8663720</v>
      </c>
      <c r="AF21">
        <v>8895234</v>
      </c>
      <c r="AG21">
        <v>9131361</v>
      </c>
      <c r="AH21">
        <v>9365064</v>
      </c>
      <c r="AI21">
        <v>9598555</v>
      </c>
      <c r="AJ21">
        <v>9840075</v>
      </c>
      <c r="AK21">
        <v>10091256</v>
      </c>
      <c r="AL21">
        <v>10353263</v>
      </c>
      <c r="AM21">
        <v>10621210</v>
      </c>
      <c r="AN21">
        <v>10897353</v>
      </c>
      <c r="AO21">
        <v>11201063</v>
      </c>
      <c r="AP21">
        <v>11533554</v>
      </c>
      <c r="AQ21">
        <v>11882888</v>
      </c>
      <c r="AR21">
        <v>12249764</v>
      </c>
      <c r="AS21">
        <v>12632269</v>
      </c>
      <c r="AT21">
        <v>13030591</v>
      </c>
      <c r="AU21">
        <v>13445977</v>
      </c>
      <c r="AV21">
        <v>13876127</v>
      </c>
      <c r="AW21">
        <v>14316242</v>
      </c>
      <c r="AX21">
        <v>14757074</v>
      </c>
      <c r="AY21">
        <v>15197915</v>
      </c>
      <c r="AZ21">
        <v>15650022</v>
      </c>
      <c r="BA21">
        <v>16116845</v>
      </c>
      <c r="BB21">
        <v>16602651</v>
      </c>
      <c r="BC21">
        <v>17113732</v>
      </c>
      <c r="BD21">
        <v>17636408</v>
      </c>
      <c r="BE21">
        <v>18169842</v>
      </c>
      <c r="BF21">
        <v>18718019</v>
      </c>
      <c r="BG21">
        <v>19275498</v>
      </c>
      <c r="BH21">
        <v>19835858</v>
      </c>
      <c r="BI21">
        <v>20392723</v>
      </c>
      <c r="BJ21">
        <v>20951639</v>
      </c>
      <c r="BK21">
        <v>21522626</v>
      </c>
      <c r="BL21">
        <v>22100683</v>
      </c>
      <c r="BM21">
        <v>22673762</v>
      </c>
      <c r="BN21">
        <v>23251485</v>
      </c>
    </row>
    <row r="22" spans="1:66" x14ac:dyDescent="0.3">
      <c r="A22" t="s">
        <v>1035</v>
      </c>
      <c r="B22" t="s">
        <v>1281</v>
      </c>
      <c r="C22">
        <v>50396429</v>
      </c>
      <c r="D22">
        <v>51882769</v>
      </c>
      <c r="E22">
        <v>53461661</v>
      </c>
      <c r="F22">
        <v>55094115</v>
      </c>
      <c r="G22">
        <v>56774465</v>
      </c>
      <c r="H22">
        <v>58500159</v>
      </c>
      <c r="I22">
        <v>60265259</v>
      </c>
      <c r="J22">
        <v>62104488</v>
      </c>
      <c r="K22">
        <v>63995652</v>
      </c>
      <c r="L22">
        <v>65866908</v>
      </c>
      <c r="M22">
        <v>67541860</v>
      </c>
      <c r="N22">
        <v>68376204</v>
      </c>
      <c r="O22">
        <v>69346705</v>
      </c>
      <c r="P22">
        <v>71144818</v>
      </c>
      <c r="Q22">
        <v>72947807</v>
      </c>
      <c r="R22">
        <v>74700345</v>
      </c>
      <c r="S22">
        <v>76380080</v>
      </c>
      <c r="T22">
        <v>78137788</v>
      </c>
      <c r="U22">
        <v>80007550</v>
      </c>
      <c r="V22">
        <v>81908151</v>
      </c>
      <c r="W22">
        <v>83929765</v>
      </c>
      <c r="X22">
        <v>86154836</v>
      </c>
      <c r="Y22">
        <v>88555336</v>
      </c>
      <c r="Z22">
        <v>91045478</v>
      </c>
      <c r="AA22">
        <v>93534239</v>
      </c>
      <c r="AB22">
        <v>95959099</v>
      </c>
      <c r="AC22">
        <v>98271746</v>
      </c>
      <c r="AD22">
        <v>100490256</v>
      </c>
      <c r="AE22">
        <v>102688833</v>
      </c>
      <c r="AF22">
        <v>104893674</v>
      </c>
      <c r="AG22">
        <v>107147651</v>
      </c>
      <c r="AH22">
        <v>109242834</v>
      </c>
      <c r="AI22">
        <v>111272102</v>
      </c>
      <c r="AJ22">
        <v>113418757</v>
      </c>
      <c r="AK22">
        <v>115614891</v>
      </c>
      <c r="AL22">
        <v>117793338</v>
      </c>
      <c r="AM22">
        <v>119876868</v>
      </c>
      <c r="AN22">
        <v>122039226</v>
      </c>
      <c r="AO22">
        <v>124350471</v>
      </c>
      <c r="AP22">
        <v>126754824</v>
      </c>
      <c r="AQ22">
        <v>129193327</v>
      </c>
      <c r="AR22">
        <v>131670484</v>
      </c>
      <c r="AS22">
        <v>134139826</v>
      </c>
      <c r="AT22">
        <v>136503206</v>
      </c>
      <c r="AU22">
        <v>138789725</v>
      </c>
      <c r="AV22">
        <v>140912590</v>
      </c>
      <c r="AW22">
        <v>142628831</v>
      </c>
      <c r="AX22">
        <v>144135934</v>
      </c>
      <c r="AY22">
        <v>145421318</v>
      </c>
      <c r="AZ22">
        <v>146706810</v>
      </c>
      <c r="BA22">
        <v>148391139</v>
      </c>
      <c r="BB22">
        <v>150211005</v>
      </c>
      <c r="BC22">
        <v>152090649</v>
      </c>
      <c r="BD22">
        <v>154030139</v>
      </c>
      <c r="BE22">
        <v>155961299</v>
      </c>
      <c r="BF22">
        <v>157830000</v>
      </c>
      <c r="BG22">
        <v>159784568</v>
      </c>
      <c r="BH22">
        <v>161793964</v>
      </c>
      <c r="BI22">
        <v>163683958</v>
      </c>
      <c r="BJ22">
        <v>165516222</v>
      </c>
      <c r="BK22">
        <v>167420951</v>
      </c>
      <c r="BL22">
        <v>169356251</v>
      </c>
      <c r="BM22">
        <v>171186372</v>
      </c>
      <c r="BN22">
        <v>172954319</v>
      </c>
    </row>
    <row r="23" spans="1:66" x14ac:dyDescent="0.3">
      <c r="A23" t="s">
        <v>1068</v>
      </c>
      <c r="B23" t="s">
        <v>1282</v>
      </c>
      <c r="C23">
        <v>7867374</v>
      </c>
      <c r="D23">
        <v>7943118</v>
      </c>
      <c r="E23">
        <v>8012946</v>
      </c>
      <c r="F23">
        <v>8078145</v>
      </c>
      <c r="G23">
        <v>8144340</v>
      </c>
      <c r="H23">
        <v>8204168</v>
      </c>
      <c r="I23">
        <v>8258057</v>
      </c>
      <c r="J23">
        <v>8310226</v>
      </c>
      <c r="K23">
        <v>8369603</v>
      </c>
      <c r="L23">
        <v>8434172</v>
      </c>
      <c r="M23">
        <v>8489574</v>
      </c>
      <c r="N23">
        <v>8536395</v>
      </c>
      <c r="O23">
        <v>8576200</v>
      </c>
      <c r="P23">
        <v>8620967</v>
      </c>
      <c r="Q23">
        <v>8678745</v>
      </c>
      <c r="R23">
        <v>8720742</v>
      </c>
      <c r="S23">
        <v>8758599</v>
      </c>
      <c r="T23">
        <v>8804183</v>
      </c>
      <c r="U23">
        <v>8814032</v>
      </c>
      <c r="V23">
        <v>8825940</v>
      </c>
      <c r="W23">
        <v>8861535</v>
      </c>
      <c r="X23">
        <v>8891117</v>
      </c>
      <c r="Y23">
        <v>8917457</v>
      </c>
      <c r="Z23">
        <v>8939738</v>
      </c>
      <c r="AA23">
        <v>8960679</v>
      </c>
      <c r="AB23">
        <v>8960547</v>
      </c>
      <c r="AC23">
        <v>8958171</v>
      </c>
      <c r="AD23">
        <v>8971359</v>
      </c>
      <c r="AE23">
        <v>8981446</v>
      </c>
      <c r="AF23">
        <v>8876972</v>
      </c>
      <c r="AG23">
        <v>8718289</v>
      </c>
      <c r="AH23">
        <v>8632367</v>
      </c>
      <c r="AI23">
        <v>8540164</v>
      </c>
      <c r="AJ23">
        <v>8472313</v>
      </c>
      <c r="AK23">
        <v>8443591</v>
      </c>
      <c r="AL23">
        <v>8406067</v>
      </c>
      <c r="AM23">
        <v>8362826</v>
      </c>
      <c r="AN23">
        <v>8312068</v>
      </c>
      <c r="AO23">
        <v>8256786</v>
      </c>
      <c r="AP23">
        <v>8210624</v>
      </c>
      <c r="AQ23">
        <v>8170172</v>
      </c>
      <c r="AR23">
        <v>8009142</v>
      </c>
      <c r="AS23">
        <v>7837161</v>
      </c>
      <c r="AT23">
        <v>7775327</v>
      </c>
      <c r="AU23">
        <v>7716860</v>
      </c>
      <c r="AV23">
        <v>7658972</v>
      </c>
      <c r="AW23">
        <v>7601022</v>
      </c>
      <c r="AX23">
        <v>7545338</v>
      </c>
      <c r="AY23">
        <v>7492561</v>
      </c>
      <c r="AZ23">
        <v>7444443</v>
      </c>
      <c r="BA23">
        <v>7395599</v>
      </c>
      <c r="BB23">
        <v>7348328</v>
      </c>
      <c r="BC23">
        <v>7305888</v>
      </c>
      <c r="BD23">
        <v>7265115</v>
      </c>
      <c r="BE23">
        <v>7223938</v>
      </c>
      <c r="BF23">
        <v>7177991</v>
      </c>
      <c r="BG23">
        <v>7127822</v>
      </c>
      <c r="BH23">
        <v>7075947</v>
      </c>
      <c r="BI23">
        <v>7025037</v>
      </c>
      <c r="BJ23">
        <v>6975761</v>
      </c>
      <c r="BK23">
        <v>6934015</v>
      </c>
      <c r="BL23">
        <v>6877743</v>
      </c>
      <c r="BM23">
        <v>6465097</v>
      </c>
      <c r="BN23">
        <v>6430370</v>
      </c>
    </row>
    <row r="24" spans="1:66" x14ac:dyDescent="0.3">
      <c r="A24" t="s">
        <v>1064</v>
      </c>
      <c r="B24" t="s">
        <v>1283</v>
      </c>
      <c r="C24">
        <v>160691</v>
      </c>
      <c r="D24">
        <v>166970</v>
      </c>
      <c r="E24">
        <v>173359</v>
      </c>
      <c r="F24">
        <v>179891</v>
      </c>
      <c r="G24">
        <v>186587</v>
      </c>
      <c r="H24">
        <v>193012</v>
      </c>
      <c r="I24">
        <v>199019</v>
      </c>
      <c r="J24">
        <v>204916</v>
      </c>
      <c r="K24">
        <v>210801</v>
      </c>
      <c r="L24">
        <v>216696</v>
      </c>
      <c r="M24">
        <v>222555</v>
      </c>
      <c r="N24">
        <v>230992</v>
      </c>
      <c r="O24">
        <v>243143</v>
      </c>
      <c r="P24">
        <v>256632</v>
      </c>
      <c r="Q24">
        <v>270627</v>
      </c>
      <c r="R24">
        <v>285116</v>
      </c>
      <c r="S24">
        <v>300044</v>
      </c>
      <c r="T24">
        <v>315337</v>
      </c>
      <c r="U24">
        <v>330912</v>
      </c>
      <c r="V24">
        <v>346697</v>
      </c>
      <c r="W24">
        <v>362595</v>
      </c>
      <c r="X24">
        <v>377430</v>
      </c>
      <c r="Y24">
        <v>391017</v>
      </c>
      <c r="Z24">
        <v>404772</v>
      </c>
      <c r="AA24">
        <v>419217</v>
      </c>
      <c r="AB24">
        <v>434375</v>
      </c>
      <c r="AC24">
        <v>450196</v>
      </c>
      <c r="AD24">
        <v>466565</v>
      </c>
      <c r="AE24">
        <v>483337</v>
      </c>
      <c r="AF24">
        <v>500349</v>
      </c>
      <c r="AG24">
        <v>517418</v>
      </c>
      <c r="AH24">
        <v>535415</v>
      </c>
      <c r="AI24">
        <v>554470</v>
      </c>
      <c r="AJ24">
        <v>573755</v>
      </c>
      <c r="AK24">
        <v>593254</v>
      </c>
      <c r="AL24">
        <v>612934</v>
      </c>
      <c r="AM24">
        <v>632756</v>
      </c>
      <c r="AN24">
        <v>652643</v>
      </c>
      <c r="AO24">
        <v>672484</v>
      </c>
      <c r="AP24">
        <v>692133</v>
      </c>
      <c r="AQ24">
        <v>711442</v>
      </c>
      <c r="AR24">
        <v>730257</v>
      </c>
      <c r="AS24">
        <v>748324</v>
      </c>
      <c r="AT24">
        <v>778256</v>
      </c>
      <c r="AU24">
        <v>833451</v>
      </c>
      <c r="AV24">
        <v>901921</v>
      </c>
      <c r="AW24">
        <v>970981</v>
      </c>
      <c r="AX24">
        <v>1040532</v>
      </c>
      <c r="AY24">
        <v>1110343</v>
      </c>
      <c r="AZ24">
        <v>1179453</v>
      </c>
      <c r="BA24">
        <v>1213645</v>
      </c>
      <c r="BB24">
        <v>1212077</v>
      </c>
      <c r="BC24">
        <v>1224939</v>
      </c>
      <c r="BD24">
        <v>1261673</v>
      </c>
      <c r="BE24">
        <v>1311134</v>
      </c>
      <c r="BF24">
        <v>1362142</v>
      </c>
      <c r="BG24">
        <v>1409661</v>
      </c>
      <c r="BH24">
        <v>1456834</v>
      </c>
      <c r="BI24">
        <v>1487340</v>
      </c>
      <c r="BJ24">
        <v>1494188</v>
      </c>
      <c r="BK24">
        <v>1477469</v>
      </c>
      <c r="BL24">
        <v>1463265</v>
      </c>
      <c r="BM24">
        <v>1472233</v>
      </c>
      <c r="BN24">
        <v>1485509</v>
      </c>
    </row>
    <row r="25" spans="1:66" x14ac:dyDescent="0.3">
      <c r="A25" t="s">
        <v>1284</v>
      </c>
      <c r="B25" t="s">
        <v>1285</v>
      </c>
      <c r="C25">
        <v>114500</v>
      </c>
      <c r="D25">
        <v>120216</v>
      </c>
      <c r="E25">
        <v>126305</v>
      </c>
      <c r="F25">
        <v>132639</v>
      </c>
      <c r="G25">
        <v>138785</v>
      </c>
      <c r="H25">
        <v>144849</v>
      </c>
      <c r="I25">
        <v>151323</v>
      </c>
      <c r="J25">
        <v>158197</v>
      </c>
      <c r="K25">
        <v>165456</v>
      </c>
      <c r="L25">
        <v>172745</v>
      </c>
      <c r="M25">
        <v>179129</v>
      </c>
      <c r="N25">
        <v>184435</v>
      </c>
      <c r="O25">
        <v>189181</v>
      </c>
      <c r="P25">
        <v>193563</v>
      </c>
      <c r="Q25">
        <v>197767</v>
      </c>
      <c r="R25">
        <v>201881</v>
      </c>
      <c r="S25">
        <v>206096</v>
      </c>
      <c r="T25">
        <v>210534</v>
      </c>
      <c r="U25">
        <v>215016</v>
      </c>
      <c r="V25">
        <v>219426</v>
      </c>
      <c r="W25">
        <v>223752</v>
      </c>
      <c r="X25">
        <v>227956</v>
      </c>
      <c r="Y25">
        <v>232177</v>
      </c>
      <c r="Z25">
        <v>236586</v>
      </c>
      <c r="AA25">
        <v>241166</v>
      </c>
      <c r="AB25">
        <v>245935</v>
      </c>
      <c r="AC25">
        <v>250804</v>
      </c>
      <c r="AD25">
        <v>255618</v>
      </c>
      <c r="AE25">
        <v>260452</v>
      </c>
      <c r="AF25">
        <v>265493</v>
      </c>
      <c r="AG25">
        <v>270679</v>
      </c>
      <c r="AH25">
        <v>276058</v>
      </c>
      <c r="AI25">
        <v>281973</v>
      </c>
      <c r="AJ25">
        <v>288164</v>
      </c>
      <c r="AK25">
        <v>293997</v>
      </c>
      <c r="AL25">
        <v>299554</v>
      </c>
      <c r="AM25">
        <v>304933</v>
      </c>
      <c r="AN25">
        <v>310171</v>
      </c>
      <c r="AO25">
        <v>315398</v>
      </c>
      <c r="AP25">
        <v>320272</v>
      </c>
      <c r="AQ25">
        <v>325014</v>
      </c>
      <c r="AR25">
        <v>329626</v>
      </c>
      <c r="AS25">
        <v>334002</v>
      </c>
      <c r="AT25">
        <v>338490</v>
      </c>
      <c r="AU25">
        <v>343089</v>
      </c>
      <c r="AV25">
        <v>347804</v>
      </c>
      <c r="AW25">
        <v>352664</v>
      </c>
      <c r="AX25">
        <v>357666</v>
      </c>
      <c r="AY25">
        <v>362795</v>
      </c>
      <c r="AZ25">
        <v>368057</v>
      </c>
      <c r="BA25">
        <v>373272</v>
      </c>
      <c r="BB25">
        <v>377950</v>
      </c>
      <c r="BC25">
        <v>382061</v>
      </c>
      <c r="BD25">
        <v>385650</v>
      </c>
      <c r="BE25">
        <v>389131</v>
      </c>
      <c r="BF25">
        <v>392697</v>
      </c>
      <c r="BG25">
        <v>395976</v>
      </c>
      <c r="BH25">
        <v>399020</v>
      </c>
      <c r="BI25">
        <v>401906</v>
      </c>
      <c r="BJ25">
        <v>404557</v>
      </c>
      <c r="BK25">
        <v>406471</v>
      </c>
      <c r="BL25">
        <v>407906</v>
      </c>
      <c r="BM25">
        <v>409984</v>
      </c>
      <c r="BN25">
        <v>412623</v>
      </c>
    </row>
    <row r="26" spans="1:66" x14ac:dyDescent="0.3">
      <c r="A26" t="s">
        <v>1049</v>
      </c>
      <c r="B26" t="s">
        <v>1048</v>
      </c>
      <c r="C26">
        <v>3262539</v>
      </c>
      <c r="D26">
        <v>3325333</v>
      </c>
      <c r="E26">
        <v>3387512</v>
      </c>
      <c r="F26">
        <v>3448532</v>
      </c>
      <c r="G26">
        <v>3507959</v>
      </c>
      <c r="H26">
        <v>3565517</v>
      </c>
      <c r="I26">
        <v>3620849</v>
      </c>
      <c r="J26">
        <v>3673367</v>
      </c>
      <c r="K26">
        <v>3723067</v>
      </c>
      <c r="L26">
        <v>3770376</v>
      </c>
      <c r="M26">
        <v>3815561</v>
      </c>
      <c r="N26">
        <v>3859242</v>
      </c>
      <c r="O26">
        <v>3901895</v>
      </c>
      <c r="P26">
        <v>3943152</v>
      </c>
      <c r="Q26">
        <v>3983063</v>
      </c>
      <c r="R26">
        <v>4022090</v>
      </c>
      <c r="S26">
        <v>4060039</v>
      </c>
      <c r="T26">
        <v>4096516</v>
      </c>
      <c r="U26">
        <v>4131521</v>
      </c>
      <c r="V26">
        <v>4165511</v>
      </c>
      <c r="W26">
        <v>4199820</v>
      </c>
      <c r="X26">
        <v>4235970</v>
      </c>
      <c r="Y26">
        <v>4274013</v>
      </c>
      <c r="Z26">
        <v>4312521</v>
      </c>
      <c r="AA26">
        <v>4349597</v>
      </c>
      <c r="AB26">
        <v>4383306</v>
      </c>
      <c r="AC26">
        <v>4413374</v>
      </c>
      <c r="AD26">
        <v>4440300</v>
      </c>
      <c r="AE26">
        <v>4463320</v>
      </c>
      <c r="AF26">
        <v>4481230</v>
      </c>
      <c r="AG26">
        <v>4494310</v>
      </c>
      <c r="AH26">
        <v>4502386</v>
      </c>
      <c r="AI26">
        <v>4275730</v>
      </c>
      <c r="AJ26">
        <v>3942981</v>
      </c>
      <c r="AK26">
        <v>3762330</v>
      </c>
      <c r="AL26">
        <v>3750527</v>
      </c>
      <c r="AM26">
        <v>3907751</v>
      </c>
      <c r="AN26">
        <v>4047748</v>
      </c>
      <c r="AO26">
        <v>4115059</v>
      </c>
      <c r="AP26">
        <v>4153014</v>
      </c>
      <c r="AQ26">
        <v>4179350</v>
      </c>
      <c r="AR26">
        <v>4194932</v>
      </c>
      <c r="AS26">
        <v>4198410</v>
      </c>
      <c r="AT26">
        <v>4183757</v>
      </c>
      <c r="AU26">
        <v>4142860</v>
      </c>
      <c r="AV26">
        <v>4094297</v>
      </c>
      <c r="AW26">
        <v>4058086</v>
      </c>
      <c r="AX26">
        <v>4007876</v>
      </c>
      <c r="AY26">
        <v>3943392</v>
      </c>
      <c r="AZ26">
        <v>3877750</v>
      </c>
      <c r="BA26">
        <v>3811088</v>
      </c>
      <c r="BB26">
        <v>3743142</v>
      </c>
      <c r="BC26">
        <v>3674374</v>
      </c>
      <c r="BD26">
        <v>3617559</v>
      </c>
      <c r="BE26">
        <v>3571068</v>
      </c>
      <c r="BF26">
        <v>3524324</v>
      </c>
      <c r="BG26">
        <v>3480986</v>
      </c>
      <c r="BH26">
        <v>3440027</v>
      </c>
      <c r="BI26">
        <v>3400129</v>
      </c>
      <c r="BJ26">
        <v>3360711</v>
      </c>
      <c r="BK26">
        <v>3318407</v>
      </c>
      <c r="BL26">
        <v>3270943</v>
      </c>
      <c r="BM26">
        <v>3233526</v>
      </c>
      <c r="BN26">
        <v>3210847</v>
      </c>
    </row>
    <row r="27" spans="1:66" x14ac:dyDescent="0.3">
      <c r="A27" t="s">
        <v>1053</v>
      </c>
      <c r="B27" t="s">
        <v>1052</v>
      </c>
      <c r="C27">
        <v>8198000</v>
      </c>
      <c r="D27">
        <v>8271216</v>
      </c>
      <c r="E27">
        <v>8351928</v>
      </c>
      <c r="F27">
        <v>8437232</v>
      </c>
      <c r="G27">
        <v>8524224</v>
      </c>
      <c r="H27">
        <v>8610000</v>
      </c>
      <c r="I27">
        <v>8696496</v>
      </c>
      <c r="J27">
        <v>8785648</v>
      </c>
      <c r="K27">
        <v>8874552</v>
      </c>
      <c r="L27">
        <v>8960304</v>
      </c>
      <c r="M27">
        <v>9040000</v>
      </c>
      <c r="N27">
        <v>9115576</v>
      </c>
      <c r="O27">
        <v>9188968</v>
      </c>
      <c r="P27">
        <v>9257272</v>
      </c>
      <c r="Q27">
        <v>9317584</v>
      </c>
      <c r="R27">
        <v>9367000</v>
      </c>
      <c r="S27">
        <v>9411000</v>
      </c>
      <c r="T27">
        <v>9463000</v>
      </c>
      <c r="U27">
        <v>9525000</v>
      </c>
      <c r="V27">
        <v>9584000</v>
      </c>
      <c r="W27">
        <v>9643000</v>
      </c>
      <c r="X27">
        <v>9710000</v>
      </c>
      <c r="Y27">
        <v>9776000</v>
      </c>
      <c r="Z27">
        <v>9843000</v>
      </c>
      <c r="AA27">
        <v>9910000</v>
      </c>
      <c r="AB27">
        <v>9975000</v>
      </c>
      <c r="AC27">
        <v>10043000</v>
      </c>
      <c r="AD27">
        <v>10111000</v>
      </c>
      <c r="AE27">
        <v>10140000</v>
      </c>
      <c r="AF27">
        <v>10170000</v>
      </c>
      <c r="AG27">
        <v>10189348</v>
      </c>
      <c r="AH27">
        <v>10194050</v>
      </c>
      <c r="AI27">
        <v>10216470</v>
      </c>
      <c r="AJ27">
        <v>10239050</v>
      </c>
      <c r="AK27">
        <v>10226955</v>
      </c>
      <c r="AL27">
        <v>10193831</v>
      </c>
      <c r="AM27">
        <v>10159569</v>
      </c>
      <c r="AN27">
        <v>10117433</v>
      </c>
      <c r="AO27">
        <v>10071963</v>
      </c>
      <c r="AP27">
        <v>10026738</v>
      </c>
      <c r="AQ27">
        <v>9979610</v>
      </c>
      <c r="AR27">
        <v>9928549</v>
      </c>
      <c r="AS27">
        <v>9865548</v>
      </c>
      <c r="AT27">
        <v>9796749</v>
      </c>
      <c r="AU27">
        <v>9730146</v>
      </c>
      <c r="AV27">
        <v>9663915</v>
      </c>
      <c r="AW27">
        <v>9604924</v>
      </c>
      <c r="AX27">
        <v>9560953</v>
      </c>
      <c r="AY27">
        <v>9527985</v>
      </c>
      <c r="AZ27">
        <v>9504583</v>
      </c>
      <c r="BA27">
        <v>9483836</v>
      </c>
      <c r="BB27">
        <v>9461643</v>
      </c>
      <c r="BC27">
        <v>9446836</v>
      </c>
      <c r="BD27">
        <v>9443211</v>
      </c>
      <c r="BE27">
        <v>9448515</v>
      </c>
      <c r="BF27">
        <v>9461076</v>
      </c>
      <c r="BG27">
        <v>9469379</v>
      </c>
      <c r="BH27">
        <v>9458989</v>
      </c>
      <c r="BI27">
        <v>9438785</v>
      </c>
      <c r="BJ27">
        <v>9419758</v>
      </c>
      <c r="BK27">
        <v>9379952</v>
      </c>
      <c r="BL27">
        <v>9302585</v>
      </c>
      <c r="BM27">
        <v>9228071</v>
      </c>
      <c r="BN27">
        <v>9178298</v>
      </c>
    </row>
    <row r="28" spans="1:66" x14ac:dyDescent="0.3">
      <c r="A28" t="s">
        <v>1051</v>
      </c>
      <c r="B28" t="s">
        <v>1286</v>
      </c>
      <c r="C28">
        <v>91403</v>
      </c>
      <c r="D28">
        <v>93757</v>
      </c>
      <c r="E28">
        <v>96188</v>
      </c>
      <c r="F28">
        <v>98862</v>
      </c>
      <c r="G28">
        <v>101772</v>
      </c>
      <c r="H28">
        <v>104838</v>
      </c>
      <c r="I28">
        <v>108062</v>
      </c>
      <c r="J28">
        <v>111411</v>
      </c>
      <c r="K28">
        <v>114825</v>
      </c>
      <c r="L28">
        <v>118145</v>
      </c>
      <c r="M28">
        <v>120905</v>
      </c>
      <c r="N28">
        <v>123091</v>
      </c>
      <c r="O28">
        <v>125054</v>
      </c>
      <c r="P28">
        <v>126875</v>
      </c>
      <c r="Q28">
        <v>128620</v>
      </c>
      <c r="R28">
        <v>130801</v>
      </c>
      <c r="S28">
        <v>133471</v>
      </c>
      <c r="T28">
        <v>136183</v>
      </c>
      <c r="U28">
        <v>138933</v>
      </c>
      <c r="V28">
        <v>141823</v>
      </c>
      <c r="W28">
        <v>145133</v>
      </c>
      <c r="X28">
        <v>148764</v>
      </c>
      <c r="Y28">
        <v>152409</v>
      </c>
      <c r="Z28">
        <v>156053</v>
      </c>
      <c r="AA28">
        <v>159721</v>
      </c>
      <c r="AB28">
        <v>163436</v>
      </c>
      <c r="AC28">
        <v>167191</v>
      </c>
      <c r="AD28">
        <v>170980</v>
      </c>
      <c r="AE28">
        <v>174817</v>
      </c>
      <c r="AF28">
        <v>178695</v>
      </c>
      <c r="AG28">
        <v>182589</v>
      </c>
      <c r="AH28">
        <v>186462</v>
      </c>
      <c r="AI28">
        <v>190299</v>
      </c>
      <c r="AJ28">
        <v>194177</v>
      </c>
      <c r="AK28">
        <v>198416</v>
      </c>
      <c r="AL28">
        <v>203556</v>
      </c>
      <c r="AM28">
        <v>209840</v>
      </c>
      <c r="AN28">
        <v>217117</v>
      </c>
      <c r="AO28">
        <v>224907</v>
      </c>
      <c r="AP28">
        <v>232733</v>
      </c>
      <c r="AQ28">
        <v>240406</v>
      </c>
      <c r="AR28">
        <v>248100</v>
      </c>
      <c r="AS28">
        <v>255987</v>
      </c>
      <c r="AT28">
        <v>263998</v>
      </c>
      <c r="AU28">
        <v>272128</v>
      </c>
      <c r="AV28">
        <v>280375</v>
      </c>
      <c r="AW28">
        <v>288729</v>
      </c>
      <c r="AX28">
        <v>297173</v>
      </c>
      <c r="AY28">
        <v>305671</v>
      </c>
      <c r="AZ28">
        <v>314171</v>
      </c>
      <c r="BA28">
        <v>322106</v>
      </c>
      <c r="BB28">
        <v>329538</v>
      </c>
      <c r="BC28">
        <v>337059</v>
      </c>
      <c r="BD28">
        <v>344688</v>
      </c>
      <c r="BE28">
        <v>352335</v>
      </c>
      <c r="BF28">
        <v>359871</v>
      </c>
      <c r="BG28">
        <v>367313</v>
      </c>
      <c r="BH28">
        <v>374693</v>
      </c>
      <c r="BI28">
        <v>382066</v>
      </c>
      <c r="BJ28">
        <v>389095</v>
      </c>
      <c r="BK28">
        <v>394921</v>
      </c>
      <c r="BL28">
        <v>400031</v>
      </c>
      <c r="BM28">
        <v>405272</v>
      </c>
      <c r="BN28">
        <v>410825</v>
      </c>
    </row>
    <row r="29" spans="1:66" x14ac:dyDescent="0.3">
      <c r="A29" t="s">
        <v>1045</v>
      </c>
      <c r="B29" t="s">
        <v>1287</v>
      </c>
      <c r="C29">
        <v>44400</v>
      </c>
      <c r="D29">
        <v>45500</v>
      </c>
      <c r="E29">
        <v>46600</v>
      </c>
      <c r="F29">
        <v>47700</v>
      </c>
      <c r="G29">
        <v>48900</v>
      </c>
      <c r="H29">
        <v>50100</v>
      </c>
      <c r="I29">
        <v>51000</v>
      </c>
      <c r="J29">
        <v>52000</v>
      </c>
      <c r="K29">
        <v>53000</v>
      </c>
      <c r="L29">
        <v>54000</v>
      </c>
      <c r="M29">
        <v>55000</v>
      </c>
      <c r="N29">
        <v>54600</v>
      </c>
      <c r="O29">
        <v>54200</v>
      </c>
      <c r="P29">
        <v>53800</v>
      </c>
      <c r="Q29">
        <v>53400</v>
      </c>
      <c r="R29">
        <v>53000</v>
      </c>
      <c r="S29">
        <v>53200</v>
      </c>
      <c r="T29">
        <v>53400</v>
      </c>
      <c r="U29">
        <v>53600</v>
      </c>
      <c r="V29">
        <v>53800</v>
      </c>
      <c r="W29">
        <v>54670</v>
      </c>
      <c r="X29">
        <v>55050</v>
      </c>
      <c r="Y29">
        <v>55449</v>
      </c>
      <c r="Z29">
        <v>55930</v>
      </c>
      <c r="AA29">
        <v>56423</v>
      </c>
      <c r="AB29">
        <v>56898</v>
      </c>
      <c r="AC29">
        <v>57382</v>
      </c>
      <c r="AD29">
        <v>57849</v>
      </c>
      <c r="AE29">
        <v>58347</v>
      </c>
      <c r="AF29">
        <v>58841</v>
      </c>
      <c r="AG29">
        <v>59326</v>
      </c>
      <c r="AH29">
        <v>59021</v>
      </c>
      <c r="AI29">
        <v>58595</v>
      </c>
      <c r="AJ29">
        <v>58910</v>
      </c>
      <c r="AK29">
        <v>59320</v>
      </c>
      <c r="AL29">
        <v>59746</v>
      </c>
      <c r="AM29">
        <v>60129</v>
      </c>
      <c r="AN29">
        <v>60497</v>
      </c>
      <c r="AO29">
        <v>60943</v>
      </c>
      <c r="AP29">
        <v>61285</v>
      </c>
      <c r="AQ29">
        <v>61833</v>
      </c>
      <c r="AR29">
        <v>62504</v>
      </c>
      <c r="AS29">
        <v>62912</v>
      </c>
      <c r="AT29">
        <v>63325</v>
      </c>
      <c r="AU29">
        <v>63740</v>
      </c>
      <c r="AV29">
        <v>64154</v>
      </c>
      <c r="AW29">
        <v>64523</v>
      </c>
      <c r="AX29">
        <v>64888</v>
      </c>
      <c r="AY29">
        <v>65273</v>
      </c>
      <c r="AZ29">
        <v>65636</v>
      </c>
      <c r="BA29">
        <v>65124</v>
      </c>
      <c r="BB29">
        <v>64564</v>
      </c>
      <c r="BC29">
        <v>64798</v>
      </c>
      <c r="BD29">
        <v>65001</v>
      </c>
      <c r="BE29">
        <v>65138</v>
      </c>
      <c r="BF29">
        <v>65237</v>
      </c>
      <c r="BG29">
        <v>64554</v>
      </c>
      <c r="BH29">
        <v>63873</v>
      </c>
      <c r="BI29">
        <v>63918</v>
      </c>
      <c r="BJ29">
        <v>63911</v>
      </c>
      <c r="BK29">
        <v>63893</v>
      </c>
      <c r="BL29">
        <v>63764</v>
      </c>
      <c r="BM29">
        <v>63595</v>
      </c>
      <c r="BN29">
        <v>63489</v>
      </c>
    </row>
    <row r="30" spans="1:66" x14ac:dyDescent="0.3">
      <c r="A30" t="s">
        <v>1288</v>
      </c>
      <c r="B30" t="s">
        <v>1057</v>
      </c>
      <c r="C30">
        <v>3707515</v>
      </c>
      <c r="D30">
        <v>3784744</v>
      </c>
      <c r="E30">
        <v>3864140</v>
      </c>
      <c r="F30">
        <v>3945729</v>
      </c>
      <c r="G30">
        <v>4029472</v>
      </c>
      <c r="H30">
        <v>4115511</v>
      </c>
      <c r="I30">
        <v>4204065</v>
      </c>
      <c r="J30">
        <v>4295269</v>
      </c>
      <c r="K30">
        <v>4389249</v>
      </c>
      <c r="L30">
        <v>4486098</v>
      </c>
      <c r="M30">
        <v>4585693</v>
      </c>
      <c r="N30">
        <v>4688267</v>
      </c>
      <c r="O30">
        <v>4793804</v>
      </c>
      <c r="P30">
        <v>4902248</v>
      </c>
      <c r="Q30">
        <v>5013765</v>
      </c>
      <c r="R30">
        <v>5127776</v>
      </c>
      <c r="S30">
        <v>5244355</v>
      </c>
      <c r="T30">
        <v>5363917</v>
      </c>
      <c r="U30">
        <v>5486132</v>
      </c>
      <c r="V30">
        <v>5610380</v>
      </c>
      <c r="W30">
        <v>5736088</v>
      </c>
      <c r="X30">
        <v>5862990</v>
      </c>
      <c r="Y30">
        <v>5991118</v>
      </c>
      <c r="Z30">
        <v>6120620</v>
      </c>
      <c r="AA30">
        <v>6251926</v>
      </c>
      <c r="AB30">
        <v>6385630</v>
      </c>
      <c r="AC30">
        <v>6521983</v>
      </c>
      <c r="AD30">
        <v>6661434</v>
      </c>
      <c r="AE30">
        <v>6804072</v>
      </c>
      <c r="AF30">
        <v>6949139</v>
      </c>
      <c r="AG30">
        <v>7096194</v>
      </c>
      <c r="AH30">
        <v>7244891</v>
      </c>
      <c r="AI30">
        <v>7394419</v>
      </c>
      <c r="AJ30">
        <v>7544489</v>
      </c>
      <c r="AK30">
        <v>7693722</v>
      </c>
      <c r="AL30">
        <v>7841471</v>
      </c>
      <c r="AM30">
        <v>7989367</v>
      </c>
      <c r="AN30">
        <v>8137619</v>
      </c>
      <c r="AO30">
        <v>8286928</v>
      </c>
      <c r="AP30">
        <v>8439052</v>
      </c>
      <c r="AQ30">
        <v>8592656</v>
      </c>
      <c r="AR30">
        <v>8746084</v>
      </c>
      <c r="AS30">
        <v>8900583</v>
      </c>
      <c r="AT30">
        <v>9057378</v>
      </c>
      <c r="AU30">
        <v>9216279</v>
      </c>
      <c r="AV30">
        <v>9377388</v>
      </c>
      <c r="AW30">
        <v>9542663</v>
      </c>
      <c r="AX30">
        <v>9711152</v>
      </c>
      <c r="AY30">
        <v>9880593</v>
      </c>
      <c r="AZ30">
        <v>10051317</v>
      </c>
      <c r="BA30">
        <v>10223270</v>
      </c>
      <c r="BB30">
        <v>10396246</v>
      </c>
      <c r="BC30">
        <v>10569697</v>
      </c>
      <c r="BD30">
        <v>10743349</v>
      </c>
      <c r="BE30">
        <v>10916987</v>
      </c>
      <c r="BF30">
        <v>11090085</v>
      </c>
      <c r="BG30">
        <v>11263015</v>
      </c>
      <c r="BH30">
        <v>11435533</v>
      </c>
      <c r="BI30">
        <v>11606905</v>
      </c>
      <c r="BJ30">
        <v>11777315</v>
      </c>
      <c r="BK30">
        <v>11936162</v>
      </c>
      <c r="BL30">
        <v>12079472</v>
      </c>
      <c r="BM30">
        <v>12224110</v>
      </c>
      <c r="BN30">
        <v>12388571</v>
      </c>
    </row>
    <row r="31" spans="1:66" x14ac:dyDescent="0.3">
      <c r="A31" t="s">
        <v>1062</v>
      </c>
      <c r="B31" t="s">
        <v>1061</v>
      </c>
      <c r="C31">
        <v>73092515</v>
      </c>
      <c r="D31">
        <v>75330008</v>
      </c>
      <c r="E31">
        <v>77599218</v>
      </c>
      <c r="F31">
        <v>79915555</v>
      </c>
      <c r="G31">
        <v>82262794</v>
      </c>
      <c r="H31">
        <v>84623747</v>
      </c>
      <c r="I31">
        <v>86979283</v>
      </c>
      <c r="J31">
        <v>89323288</v>
      </c>
      <c r="K31">
        <v>91659246</v>
      </c>
      <c r="L31">
        <v>94000381</v>
      </c>
      <c r="M31">
        <v>96369875</v>
      </c>
      <c r="N31">
        <v>98766288</v>
      </c>
      <c r="O31">
        <v>101194394</v>
      </c>
      <c r="P31">
        <v>103666904</v>
      </c>
      <c r="Q31">
        <v>106167372</v>
      </c>
      <c r="R31">
        <v>108700515</v>
      </c>
      <c r="S31">
        <v>111286504</v>
      </c>
      <c r="T31">
        <v>113939886</v>
      </c>
      <c r="U31">
        <v>116664382</v>
      </c>
      <c r="V31">
        <v>119447303</v>
      </c>
      <c r="W31">
        <v>122288383</v>
      </c>
      <c r="X31">
        <v>125168060</v>
      </c>
      <c r="Y31">
        <v>128065095</v>
      </c>
      <c r="Z31">
        <v>130977370</v>
      </c>
      <c r="AA31">
        <v>133888775</v>
      </c>
      <c r="AB31">
        <v>136783180</v>
      </c>
      <c r="AC31">
        <v>139643355</v>
      </c>
      <c r="AD31">
        <v>142466264</v>
      </c>
      <c r="AE31">
        <v>145253973</v>
      </c>
      <c r="AF31">
        <v>148003411</v>
      </c>
      <c r="AG31">
        <v>150706446</v>
      </c>
      <c r="AH31">
        <v>153336445</v>
      </c>
      <c r="AI31">
        <v>155900790</v>
      </c>
      <c r="AJ31">
        <v>158440875</v>
      </c>
      <c r="AK31">
        <v>160980472</v>
      </c>
      <c r="AL31">
        <v>163515328</v>
      </c>
      <c r="AM31">
        <v>166037122</v>
      </c>
      <c r="AN31">
        <v>168546707</v>
      </c>
      <c r="AO31">
        <v>171039804</v>
      </c>
      <c r="AP31">
        <v>173486281</v>
      </c>
      <c r="AQ31">
        <v>175873720</v>
      </c>
      <c r="AR31">
        <v>178211881</v>
      </c>
      <c r="AS31">
        <v>180476685</v>
      </c>
      <c r="AT31">
        <v>182629278</v>
      </c>
      <c r="AU31">
        <v>184722043</v>
      </c>
      <c r="AV31">
        <v>186797334</v>
      </c>
      <c r="AW31">
        <v>188820682</v>
      </c>
      <c r="AX31">
        <v>190779453</v>
      </c>
      <c r="AY31">
        <v>192672317</v>
      </c>
      <c r="AZ31">
        <v>194517549</v>
      </c>
      <c r="BA31">
        <v>196353492</v>
      </c>
      <c r="BB31">
        <v>198185302</v>
      </c>
      <c r="BC31">
        <v>199977707</v>
      </c>
      <c r="BD31">
        <v>201721767</v>
      </c>
      <c r="BE31">
        <v>203459650</v>
      </c>
      <c r="BF31">
        <v>205188205</v>
      </c>
      <c r="BG31">
        <v>206859578</v>
      </c>
      <c r="BH31">
        <v>208504960</v>
      </c>
      <c r="BI31">
        <v>210166592</v>
      </c>
      <c r="BJ31">
        <v>211782878</v>
      </c>
      <c r="BK31">
        <v>213196304</v>
      </c>
      <c r="BL31">
        <v>214326223</v>
      </c>
      <c r="BM31">
        <v>215313498</v>
      </c>
      <c r="BN31">
        <v>216422446</v>
      </c>
    </row>
    <row r="32" spans="1:66" x14ac:dyDescent="0.3">
      <c r="A32" t="s">
        <v>1037</v>
      </c>
      <c r="B32" t="s">
        <v>1289</v>
      </c>
      <c r="C32">
        <v>232550</v>
      </c>
      <c r="D32">
        <v>233698</v>
      </c>
      <c r="E32">
        <v>234829</v>
      </c>
      <c r="F32">
        <v>235875</v>
      </c>
      <c r="G32">
        <v>236834</v>
      </c>
      <c r="H32">
        <v>237694</v>
      </c>
      <c r="I32">
        <v>238494</v>
      </c>
      <c r="J32">
        <v>239238</v>
      </c>
      <c r="K32">
        <v>239905</v>
      </c>
      <c r="L32">
        <v>240594</v>
      </c>
      <c r="M32">
        <v>241397</v>
      </c>
      <c r="N32">
        <v>242350</v>
      </c>
      <c r="O32">
        <v>243458</v>
      </c>
      <c r="P32">
        <v>244643</v>
      </c>
      <c r="Q32">
        <v>245851</v>
      </c>
      <c r="R32">
        <v>247090</v>
      </c>
      <c r="S32">
        <v>248359</v>
      </c>
      <c r="T32">
        <v>249663</v>
      </c>
      <c r="U32">
        <v>251009</v>
      </c>
      <c r="V32">
        <v>252334</v>
      </c>
      <c r="W32">
        <v>253575</v>
      </c>
      <c r="X32">
        <v>254684</v>
      </c>
      <c r="Y32">
        <v>255642</v>
      </c>
      <c r="Z32">
        <v>256505</v>
      </c>
      <c r="AA32">
        <v>257279</v>
      </c>
      <c r="AB32">
        <v>257911</v>
      </c>
      <c r="AC32">
        <v>258370</v>
      </c>
      <c r="AD32">
        <v>258654</v>
      </c>
      <c r="AE32">
        <v>258762</v>
      </c>
      <c r="AF32">
        <v>258759</v>
      </c>
      <c r="AG32">
        <v>258868</v>
      </c>
      <c r="AH32">
        <v>259402</v>
      </c>
      <c r="AI32">
        <v>260212</v>
      </c>
      <c r="AJ32">
        <v>260995</v>
      </c>
      <c r="AK32">
        <v>261712</v>
      </c>
      <c r="AL32">
        <v>262303</v>
      </c>
      <c r="AM32">
        <v>262793</v>
      </c>
      <c r="AN32">
        <v>263224</v>
      </c>
      <c r="AO32">
        <v>263642</v>
      </c>
      <c r="AP32">
        <v>264170</v>
      </c>
      <c r="AQ32">
        <v>264657</v>
      </c>
      <c r="AR32">
        <v>265377</v>
      </c>
      <c r="AS32">
        <v>266455</v>
      </c>
      <c r="AT32">
        <v>267499</v>
      </c>
      <c r="AU32">
        <v>268505</v>
      </c>
      <c r="AV32">
        <v>269477</v>
      </c>
      <c r="AW32">
        <v>270425</v>
      </c>
      <c r="AX32">
        <v>271444</v>
      </c>
      <c r="AY32">
        <v>272635</v>
      </c>
      <c r="AZ32">
        <v>273791</v>
      </c>
      <c r="BA32">
        <v>274711</v>
      </c>
      <c r="BB32">
        <v>275486</v>
      </c>
      <c r="BC32">
        <v>276197</v>
      </c>
      <c r="BD32">
        <v>276865</v>
      </c>
      <c r="BE32">
        <v>277493</v>
      </c>
      <c r="BF32">
        <v>278083</v>
      </c>
      <c r="BG32">
        <v>278649</v>
      </c>
      <c r="BH32">
        <v>279187</v>
      </c>
      <c r="BI32">
        <v>279688</v>
      </c>
      <c r="BJ32">
        <v>280180</v>
      </c>
      <c r="BK32">
        <v>280693</v>
      </c>
      <c r="BL32">
        <v>281200</v>
      </c>
      <c r="BM32">
        <v>281635</v>
      </c>
      <c r="BN32">
        <v>281995</v>
      </c>
    </row>
    <row r="33" spans="1:66" x14ac:dyDescent="0.3">
      <c r="A33" t="s">
        <v>1290</v>
      </c>
      <c r="B33" t="s">
        <v>1063</v>
      </c>
      <c r="C33">
        <v>85346</v>
      </c>
      <c r="D33">
        <v>89561</v>
      </c>
      <c r="E33">
        <v>93837</v>
      </c>
      <c r="F33">
        <v>98277</v>
      </c>
      <c r="G33">
        <v>102904</v>
      </c>
      <c r="H33">
        <v>107686</v>
      </c>
      <c r="I33">
        <v>112597</v>
      </c>
      <c r="J33">
        <v>117628</v>
      </c>
      <c r="K33">
        <v>122764</v>
      </c>
      <c r="L33">
        <v>128012</v>
      </c>
      <c r="M33">
        <v>133343</v>
      </c>
      <c r="N33">
        <v>138666</v>
      </c>
      <c r="O33">
        <v>143886</v>
      </c>
      <c r="P33">
        <v>149065</v>
      </c>
      <c r="Q33">
        <v>154314</v>
      </c>
      <c r="R33">
        <v>159653</v>
      </c>
      <c r="S33">
        <v>165064</v>
      </c>
      <c r="T33">
        <v>170560</v>
      </c>
      <c r="U33">
        <v>176176</v>
      </c>
      <c r="V33">
        <v>181951</v>
      </c>
      <c r="W33">
        <v>187921</v>
      </c>
      <c r="X33">
        <v>194099</v>
      </c>
      <c r="Y33">
        <v>200630</v>
      </c>
      <c r="Z33">
        <v>207523</v>
      </c>
      <c r="AA33">
        <v>214682</v>
      </c>
      <c r="AB33">
        <v>222119</v>
      </c>
      <c r="AC33">
        <v>229815</v>
      </c>
      <c r="AD33">
        <v>237712</v>
      </c>
      <c r="AE33">
        <v>245729</v>
      </c>
      <c r="AF33">
        <v>253821</v>
      </c>
      <c r="AG33">
        <v>261928</v>
      </c>
      <c r="AH33">
        <v>269860</v>
      </c>
      <c r="AI33">
        <v>277416</v>
      </c>
      <c r="AJ33">
        <v>284713</v>
      </c>
      <c r="AK33">
        <v>291935</v>
      </c>
      <c r="AL33">
        <v>299097</v>
      </c>
      <c r="AM33">
        <v>306196</v>
      </c>
      <c r="AN33">
        <v>313215</v>
      </c>
      <c r="AO33">
        <v>320152</v>
      </c>
      <c r="AP33">
        <v>327045</v>
      </c>
      <c r="AQ33">
        <v>333926</v>
      </c>
      <c r="AR33">
        <v>340748</v>
      </c>
      <c r="AS33">
        <v>347463</v>
      </c>
      <c r="AT33">
        <v>354045</v>
      </c>
      <c r="AU33">
        <v>360461</v>
      </c>
      <c r="AV33">
        <v>366717</v>
      </c>
      <c r="AW33">
        <v>372808</v>
      </c>
      <c r="AX33">
        <v>378748</v>
      </c>
      <c r="AY33">
        <v>384568</v>
      </c>
      <c r="AZ33">
        <v>390311</v>
      </c>
      <c r="BA33">
        <v>396053</v>
      </c>
      <c r="BB33">
        <v>401506</v>
      </c>
      <c r="BC33">
        <v>406634</v>
      </c>
      <c r="BD33">
        <v>411702</v>
      </c>
      <c r="BE33">
        <v>416656</v>
      </c>
      <c r="BF33">
        <v>421437</v>
      </c>
      <c r="BG33">
        <v>425994</v>
      </c>
      <c r="BH33">
        <v>430276</v>
      </c>
      <c r="BI33">
        <v>434274</v>
      </c>
      <c r="BJ33">
        <v>438048</v>
      </c>
      <c r="BK33">
        <v>441725</v>
      </c>
      <c r="BL33">
        <v>445373</v>
      </c>
      <c r="BM33">
        <v>449002</v>
      </c>
      <c r="BN33">
        <v>452524</v>
      </c>
    </row>
    <row r="34" spans="1:66" x14ac:dyDescent="0.3">
      <c r="A34" t="s">
        <v>1047</v>
      </c>
      <c r="B34" t="s">
        <v>1291</v>
      </c>
      <c r="C34">
        <v>221266</v>
      </c>
      <c r="D34">
        <v>227071</v>
      </c>
      <c r="E34">
        <v>233417</v>
      </c>
      <c r="F34">
        <v>240268</v>
      </c>
      <c r="G34">
        <v>247444</v>
      </c>
      <c r="H34">
        <v>255010</v>
      </c>
      <c r="I34">
        <v>262976</v>
      </c>
      <c r="J34">
        <v>271339</v>
      </c>
      <c r="K34">
        <v>280102</v>
      </c>
      <c r="L34">
        <v>289296</v>
      </c>
      <c r="M34">
        <v>298894</v>
      </c>
      <c r="N34">
        <v>308837</v>
      </c>
      <c r="O34">
        <v>319128</v>
      </c>
      <c r="P34">
        <v>329800</v>
      </c>
      <c r="Q34">
        <v>340842</v>
      </c>
      <c r="R34">
        <v>352269</v>
      </c>
      <c r="S34">
        <v>364119</v>
      </c>
      <c r="T34">
        <v>376387</v>
      </c>
      <c r="U34">
        <v>389072</v>
      </c>
      <c r="V34">
        <v>402063</v>
      </c>
      <c r="W34">
        <v>415257</v>
      </c>
      <c r="X34">
        <v>428641</v>
      </c>
      <c r="Y34">
        <v>442201</v>
      </c>
      <c r="Z34">
        <v>456033</v>
      </c>
      <c r="AA34">
        <v>470165</v>
      </c>
      <c r="AB34">
        <v>484528</v>
      </c>
      <c r="AC34">
        <v>499151</v>
      </c>
      <c r="AD34">
        <v>514026</v>
      </c>
      <c r="AE34">
        <v>529051</v>
      </c>
      <c r="AF34">
        <v>544209</v>
      </c>
      <c r="AG34">
        <v>558442</v>
      </c>
      <c r="AH34">
        <v>567710</v>
      </c>
      <c r="AI34">
        <v>545944</v>
      </c>
      <c r="AJ34">
        <v>520838</v>
      </c>
      <c r="AK34">
        <v>521260</v>
      </c>
      <c r="AL34">
        <v>527536</v>
      </c>
      <c r="AM34">
        <v>537494</v>
      </c>
      <c r="AN34">
        <v>546865</v>
      </c>
      <c r="AO34">
        <v>557143</v>
      </c>
      <c r="AP34">
        <v>570990</v>
      </c>
      <c r="AQ34">
        <v>587207</v>
      </c>
      <c r="AR34">
        <v>603234</v>
      </c>
      <c r="AS34">
        <v>619048</v>
      </c>
      <c r="AT34">
        <v>634627</v>
      </c>
      <c r="AU34">
        <v>649991</v>
      </c>
      <c r="AV34">
        <v>663323</v>
      </c>
      <c r="AW34">
        <v>673260</v>
      </c>
      <c r="AX34">
        <v>681614</v>
      </c>
      <c r="AY34">
        <v>689737</v>
      </c>
      <c r="AZ34">
        <v>697678</v>
      </c>
      <c r="BA34">
        <v>705516</v>
      </c>
      <c r="BB34">
        <v>713331</v>
      </c>
      <c r="BC34">
        <v>721145</v>
      </c>
      <c r="BD34">
        <v>728889</v>
      </c>
      <c r="BE34">
        <v>736357</v>
      </c>
      <c r="BF34">
        <v>743274</v>
      </c>
      <c r="BG34">
        <v>749761</v>
      </c>
      <c r="BH34">
        <v>756121</v>
      </c>
      <c r="BI34">
        <v>762096</v>
      </c>
      <c r="BJ34">
        <v>767459</v>
      </c>
      <c r="BK34">
        <v>772506</v>
      </c>
      <c r="BL34">
        <v>777486</v>
      </c>
      <c r="BM34">
        <v>782455</v>
      </c>
      <c r="BN34">
        <v>787424</v>
      </c>
    </row>
    <row r="35" spans="1:66" x14ac:dyDescent="0.3">
      <c r="A35" t="s">
        <v>1060</v>
      </c>
      <c r="B35" t="s">
        <v>1292</v>
      </c>
      <c r="C35">
        <v>512865</v>
      </c>
      <c r="D35">
        <v>524403</v>
      </c>
      <c r="E35">
        <v>536428</v>
      </c>
      <c r="F35">
        <v>549041</v>
      </c>
      <c r="G35">
        <v>562274</v>
      </c>
      <c r="H35">
        <v>570975</v>
      </c>
      <c r="I35">
        <v>574855</v>
      </c>
      <c r="J35">
        <v>578723</v>
      </c>
      <c r="K35">
        <v>582655</v>
      </c>
      <c r="L35">
        <v>586737</v>
      </c>
      <c r="M35">
        <v>592244</v>
      </c>
      <c r="N35">
        <v>604139</v>
      </c>
      <c r="O35">
        <v>626601</v>
      </c>
      <c r="P35">
        <v>657246</v>
      </c>
      <c r="Q35">
        <v>691569</v>
      </c>
      <c r="R35">
        <v>727930</v>
      </c>
      <c r="S35">
        <v>766424</v>
      </c>
      <c r="T35">
        <v>806968</v>
      </c>
      <c r="U35">
        <v>849394</v>
      </c>
      <c r="V35">
        <v>893500</v>
      </c>
      <c r="W35">
        <v>938578</v>
      </c>
      <c r="X35">
        <v>982747</v>
      </c>
      <c r="Y35">
        <v>1023009</v>
      </c>
      <c r="Z35">
        <v>1060717</v>
      </c>
      <c r="AA35">
        <v>1099170</v>
      </c>
      <c r="AB35">
        <v>1138704</v>
      </c>
      <c r="AC35">
        <v>1179263</v>
      </c>
      <c r="AD35">
        <v>1220361</v>
      </c>
      <c r="AE35">
        <v>1261272</v>
      </c>
      <c r="AF35">
        <v>1301671</v>
      </c>
      <c r="AG35">
        <v>1341474</v>
      </c>
      <c r="AH35">
        <v>1380584</v>
      </c>
      <c r="AI35">
        <v>1420695</v>
      </c>
      <c r="AJ35">
        <v>1462262</v>
      </c>
      <c r="AK35">
        <v>1503544</v>
      </c>
      <c r="AL35">
        <v>1543634</v>
      </c>
      <c r="AM35">
        <v>1582169</v>
      </c>
      <c r="AN35">
        <v>1619354</v>
      </c>
      <c r="AO35">
        <v>1655699</v>
      </c>
      <c r="AP35">
        <v>1691558</v>
      </c>
      <c r="AQ35">
        <v>1726985</v>
      </c>
      <c r="AR35">
        <v>1761930</v>
      </c>
      <c r="AS35">
        <v>1795130</v>
      </c>
      <c r="AT35">
        <v>1826863</v>
      </c>
      <c r="AU35">
        <v>1859085</v>
      </c>
      <c r="AV35">
        <v>1892807</v>
      </c>
      <c r="AW35">
        <v>1928704</v>
      </c>
      <c r="AX35">
        <v>1966977</v>
      </c>
      <c r="AY35">
        <v>2007320</v>
      </c>
      <c r="AZ35">
        <v>2048997</v>
      </c>
      <c r="BA35">
        <v>2091664</v>
      </c>
      <c r="BB35">
        <v>2134037</v>
      </c>
      <c r="BC35">
        <v>2175425</v>
      </c>
      <c r="BD35">
        <v>2217278</v>
      </c>
      <c r="BE35">
        <v>2260376</v>
      </c>
      <c r="BF35">
        <v>2305171</v>
      </c>
      <c r="BG35">
        <v>2352416</v>
      </c>
      <c r="BH35">
        <v>2401840</v>
      </c>
      <c r="BI35">
        <v>2451409</v>
      </c>
      <c r="BJ35">
        <v>2499702</v>
      </c>
      <c r="BK35">
        <v>2546402</v>
      </c>
      <c r="BL35">
        <v>2588423</v>
      </c>
      <c r="BM35">
        <v>2630296</v>
      </c>
      <c r="BN35">
        <v>2675352</v>
      </c>
    </row>
    <row r="36" spans="1:66" x14ac:dyDescent="0.3">
      <c r="A36" t="s">
        <v>1072</v>
      </c>
      <c r="B36" t="s">
        <v>1071</v>
      </c>
      <c r="C36">
        <v>1679728</v>
      </c>
      <c r="D36">
        <v>1710364</v>
      </c>
      <c r="E36">
        <v>1742502</v>
      </c>
      <c r="F36">
        <v>1776214</v>
      </c>
      <c r="G36">
        <v>1811694</v>
      </c>
      <c r="H36">
        <v>1849171</v>
      </c>
      <c r="I36">
        <v>1888853</v>
      </c>
      <c r="J36">
        <v>1930861</v>
      </c>
      <c r="K36">
        <v>1975257</v>
      </c>
      <c r="L36">
        <v>2021519</v>
      </c>
      <c r="M36">
        <v>2067356</v>
      </c>
      <c r="N36">
        <v>2111224</v>
      </c>
      <c r="O36">
        <v>2153613</v>
      </c>
      <c r="P36">
        <v>2195905</v>
      </c>
      <c r="Q36">
        <v>2239305</v>
      </c>
      <c r="R36">
        <v>2283927</v>
      </c>
      <c r="S36">
        <v>2318349</v>
      </c>
      <c r="T36">
        <v>2342048</v>
      </c>
      <c r="U36">
        <v>2365957</v>
      </c>
      <c r="V36">
        <v>2390329</v>
      </c>
      <c r="W36">
        <v>2415276</v>
      </c>
      <c r="X36">
        <v>2441010</v>
      </c>
      <c r="Y36">
        <v>2467635</v>
      </c>
      <c r="Z36">
        <v>2495097</v>
      </c>
      <c r="AA36">
        <v>2523538</v>
      </c>
      <c r="AB36">
        <v>2553075</v>
      </c>
      <c r="AC36">
        <v>2583631</v>
      </c>
      <c r="AD36">
        <v>2615594</v>
      </c>
      <c r="AE36">
        <v>2657235</v>
      </c>
      <c r="AF36">
        <v>2724109</v>
      </c>
      <c r="AG36">
        <v>2809221</v>
      </c>
      <c r="AH36">
        <v>2898052</v>
      </c>
      <c r="AI36">
        <v>2991727</v>
      </c>
      <c r="AJ36">
        <v>3089146</v>
      </c>
      <c r="AK36">
        <v>3187844</v>
      </c>
      <c r="AL36">
        <v>3276706</v>
      </c>
      <c r="AM36">
        <v>3363570</v>
      </c>
      <c r="AN36">
        <v>3458472</v>
      </c>
      <c r="AO36">
        <v>3555064</v>
      </c>
      <c r="AP36">
        <v>3655360</v>
      </c>
      <c r="AQ36">
        <v>3759170</v>
      </c>
      <c r="AR36">
        <v>3844773</v>
      </c>
      <c r="AS36">
        <v>3930648</v>
      </c>
      <c r="AT36">
        <v>4026841</v>
      </c>
      <c r="AU36">
        <v>4115138</v>
      </c>
      <c r="AV36">
        <v>4208834</v>
      </c>
      <c r="AW36">
        <v>4294352</v>
      </c>
      <c r="AX36">
        <v>4375569</v>
      </c>
      <c r="AY36">
        <v>4467233</v>
      </c>
      <c r="AZ36">
        <v>4564540</v>
      </c>
      <c r="BA36">
        <v>4660067</v>
      </c>
      <c r="BB36">
        <v>4732022</v>
      </c>
      <c r="BC36">
        <v>4773306</v>
      </c>
      <c r="BD36">
        <v>4802428</v>
      </c>
      <c r="BE36">
        <v>4798734</v>
      </c>
      <c r="BF36">
        <v>4819333</v>
      </c>
      <c r="BG36">
        <v>4904177</v>
      </c>
      <c r="BH36">
        <v>4996741</v>
      </c>
      <c r="BI36">
        <v>5094780</v>
      </c>
      <c r="BJ36">
        <v>5209324</v>
      </c>
      <c r="BK36">
        <v>5343020</v>
      </c>
      <c r="BL36">
        <v>5457154</v>
      </c>
      <c r="BM36">
        <v>5579144</v>
      </c>
      <c r="BN36">
        <v>5742315</v>
      </c>
    </row>
    <row r="37" spans="1:66" x14ac:dyDescent="0.3">
      <c r="A37" t="s">
        <v>1076</v>
      </c>
      <c r="B37" t="s">
        <v>1075</v>
      </c>
      <c r="C37">
        <v>17909356</v>
      </c>
      <c r="D37">
        <v>18271000</v>
      </c>
      <c r="E37">
        <v>18614000</v>
      </c>
      <c r="F37">
        <v>18964000</v>
      </c>
      <c r="G37">
        <v>19325000</v>
      </c>
      <c r="H37">
        <v>19678000</v>
      </c>
      <c r="I37">
        <v>20048000</v>
      </c>
      <c r="J37">
        <v>20412000</v>
      </c>
      <c r="K37">
        <v>20744000</v>
      </c>
      <c r="L37">
        <v>21028000</v>
      </c>
      <c r="M37">
        <v>21324000</v>
      </c>
      <c r="N37">
        <v>21962032</v>
      </c>
      <c r="O37">
        <v>22218463</v>
      </c>
      <c r="P37">
        <v>22491777</v>
      </c>
      <c r="Q37">
        <v>22807969</v>
      </c>
      <c r="R37">
        <v>23143275</v>
      </c>
      <c r="S37">
        <v>23449808</v>
      </c>
      <c r="T37">
        <v>23725843</v>
      </c>
      <c r="U37">
        <v>23963203</v>
      </c>
      <c r="V37">
        <v>24201544</v>
      </c>
      <c r="W37">
        <v>24515667</v>
      </c>
      <c r="X37">
        <v>24819915</v>
      </c>
      <c r="Y37">
        <v>25116942</v>
      </c>
      <c r="Z37">
        <v>25366451</v>
      </c>
      <c r="AA37">
        <v>25607053</v>
      </c>
      <c r="AB37">
        <v>25842116</v>
      </c>
      <c r="AC37">
        <v>26100278</v>
      </c>
      <c r="AD37">
        <v>26446601</v>
      </c>
      <c r="AE37">
        <v>26791747</v>
      </c>
      <c r="AF37">
        <v>27276781</v>
      </c>
      <c r="AG37">
        <v>27691138</v>
      </c>
      <c r="AH37">
        <v>28037420</v>
      </c>
      <c r="AI37">
        <v>28371264</v>
      </c>
      <c r="AJ37">
        <v>28684764</v>
      </c>
      <c r="AK37">
        <v>29000663</v>
      </c>
      <c r="AL37">
        <v>29302311</v>
      </c>
      <c r="AM37">
        <v>29610218</v>
      </c>
      <c r="AN37">
        <v>29905948</v>
      </c>
      <c r="AO37">
        <v>30155173</v>
      </c>
      <c r="AP37">
        <v>30401286</v>
      </c>
      <c r="AQ37">
        <v>30685730</v>
      </c>
      <c r="AR37">
        <v>31020855</v>
      </c>
      <c r="AS37">
        <v>31359199</v>
      </c>
      <c r="AT37">
        <v>31642461</v>
      </c>
      <c r="AU37">
        <v>31938807</v>
      </c>
      <c r="AV37">
        <v>32242732</v>
      </c>
      <c r="AW37">
        <v>32571193</v>
      </c>
      <c r="AX37">
        <v>32888886</v>
      </c>
      <c r="AY37">
        <v>33247298</v>
      </c>
      <c r="AZ37">
        <v>33630069</v>
      </c>
      <c r="BA37">
        <v>34005902</v>
      </c>
      <c r="BB37">
        <v>34339221</v>
      </c>
      <c r="BC37">
        <v>34713395</v>
      </c>
      <c r="BD37">
        <v>35080992</v>
      </c>
      <c r="BE37">
        <v>35434066</v>
      </c>
      <c r="BF37">
        <v>35704498</v>
      </c>
      <c r="BG37">
        <v>36110803</v>
      </c>
      <c r="BH37">
        <v>36545075</v>
      </c>
      <c r="BI37">
        <v>37072620</v>
      </c>
      <c r="BJ37">
        <v>37618495</v>
      </c>
      <c r="BK37">
        <v>38028638</v>
      </c>
      <c r="BL37">
        <v>38239864</v>
      </c>
      <c r="BM37">
        <v>38939056</v>
      </c>
      <c r="BN37">
        <v>40097761</v>
      </c>
    </row>
    <row r="38" spans="1:66" x14ac:dyDescent="0.3">
      <c r="A38" t="s">
        <v>1293</v>
      </c>
      <c r="B38" t="s">
        <v>1294</v>
      </c>
      <c r="C38">
        <v>91401764</v>
      </c>
      <c r="D38">
        <v>92232738</v>
      </c>
      <c r="E38">
        <v>93009498</v>
      </c>
      <c r="F38">
        <v>93840016</v>
      </c>
      <c r="G38">
        <v>94715795</v>
      </c>
      <c r="H38">
        <v>95440988</v>
      </c>
      <c r="I38">
        <v>96146336</v>
      </c>
      <c r="J38">
        <v>97043270</v>
      </c>
      <c r="K38">
        <v>97884022</v>
      </c>
      <c r="L38">
        <v>98606630</v>
      </c>
      <c r="M38">
        <v>99134548</v>
      </c>
      <c r="N38">
        <v>99635258</v>
      </c>
      <c r="O38">
        <v>100357161</v>
      </c>
      <c r="P38">
        <v>101112680</v>
      </c>
      <c r="Q38">
        <v>101939916</v>
      </c>
      <c r="R38">
        <v>102860571</v>
      </c>
      <c r="S38">
        <v>103776068</v>
      </c>
      <c r="T38">
        <v>104616884</v>
      </c>
      <c r="U38">
        <v>105329397</v>
      </c>
      <c r="V38">
        <v>105948616</v>
      </c>
      <c r="W38">
        <v>106541316</v>
      </c>
      <c r="X38">
        <v>107129392</v>
      </c>
      <c r="Y38">
        <v>107730380</v>
      </c>
      <c r="Z38">
        <v>108297837</v>
      </c>
      <c r="AA38">
        <v>108838073</v>
      </c>
      <c r="AB38">
        <v>109338285</v>
      </c>
      <c r="AC38">
        <v>109824166</v>
      </c>
      <c r="AD38">
        <v>110296425</v>
      </c>
      <c r="AE38">
        <v>110686740</v>
      </c>
      <c r="AF38">
        <v>110801640</v>
      </c>
      <c r="AG38">
        <v>110743128</v>
      </c>
      <c r="AH38">
        <v>110469467</v>
      </c>
      <c r="AI38">
        <v>110111454</v>
      </c>
      <c r="AJ38">
        <v>110041924</v>
      </c>
      <c r="AK38">
        <v>110021594</v>
      </c>
      <c r="AL38">
        <v>109864246</v>
      </c>
      <c r="AM38">
        <v>109626194</v>
      </c>
      <c r="AN38">
        <v>109422013</v>
      </c>
      <c r="AO38">
        <v>109238340</v>
      </c>
      <c r="AP38">
        <v>109060951</v>
      </c>
      <c r="AQ38">
        <v>108447824</v>
      </c>
      <c r="AR38">
        <v>107660041</v>
      </c>
      <c r="AS38">
        <v>106959751</v>
      </c>
      <c r="AT38">
        <v>106624167</v>
      </c>
      <c r="AU38">
        <v>106331716</v>
      </c>
      <c r="AV38">
        <v>106041911</v>
      </c>
      <c r="AW38">
        <v>105772481</v>
      </c>
      <c r="AX38">
        <v>105378748</v>
      </c>
      <c r="AY38">
        <v>105001883</v>
      </c>
      <c r="AZ38">
        <v>104800475</v>
      </c>
      <c r="BA38">
        <v>104421447</v>
      </c>
      <c r="BB38">
        <v>104174038</v>
      </c>
      <c r="BC38">
        <v>103935318</v>
      </c>
      <c r="BD38">
        <v>103713726</v>
      </c>
      <c r="BE38">
        <v>103496179</v>
      </c>
      <c r="BF38">
        <v>103257886</v>
      </c>
      <c r="BG38">
        <v>102994278</v>
      </c>
      <c r="BH38">
        <v>102740078</v>
      </c>
      <c r="BI38">
        <v>102538451</v>
      </c>
      <c r="BJ38">
        <v>102398537</v>
      </c>
      <c r="BK38">
        <v>102180124</v>
      </c>
      <c r="BL38">
        <v>101413157</v>
      </c>
      <c r="BM38">
        <v>100108262</v>
      </c>
      <c r="BN38">
        <v>100156608</v>
      </c>
    </row>
    <row r="39" spans="1:66" x14ac:dyDescent="0.3">
      <c r="A39" t="s">
        <v>1295</v>
      </c>
      <c r="B39" t="s">
        <v>1296</v>
      </c>
      <c r="C39">
        <v>5327827</v>
      </c>
      <c r="D39">
        <v>5434294</v>
      </c>
      <c r="E39">
        <v>5573815</v>
      </c>
      <c r="F39">
        <v>5694247</v>
      </c>
      <c r="G39">
        <v>5789228</v>
      </c>
      <c r="H39">
        <v>5856472</v>
      </c>
      <c r="I39">
        <v>5918002</v>
      </c>
      <c r="J39">
        <v>5991785</v>
      </c>
      <c r="K39">
        <v>6067714</v>
      </c>
      <c r="L39">
        <v>6136387</v>
      </c>
      <c r="M39">
        <v>6180877</v>
      </c>
      <c r="N39">
        <v>6213399</v>
      </c>
      <c r="O39">
        <v>6260956</v>
      </c>
      <c r="P39">
        <v>6307347</v>
      </c>
      <c r="Q39">
        <v>6341405</v>
      </c>
      <c r="R39">
        <v>6338632</v>
      </c>
      <c r="S39">
        <v>6302504</v>
      </c>
      <c r="T39">
        <v>6281174</v>
      </c>
      <c r="U39">
        <v>6281738</v>
      </c>
      <c r="V39">
        <v>6294365</v>
      </c>
      <c r="W39">
        <v>6319408</v>
      </c>
      <c r="X39">
        <v>6354074</v>
      </c>
      <c r="Y39">
        <v>6391309</v>
      </c>
      <c r="Z39">
        <v>6418773</v>
      </c>
      <c r="AA39">
        <v>6441865</v>
      </c>
      <c r="AB39">
        <v>6470365</v>
      </c>
      <c r="AC39">
        <v>6504124</v>
      </c>
      <c r="AD39">
        <v>6545106</v>
      </c>
      <c r="AE39">
        <v>6593386</v>
      </c>
      <c r="AF39">
        <v>6646912</v>
      </c>
      <c r="AG39">
        <v>6715519</v>
      </c>
      <c r="AH39">
        <v>6799978</v>
      </c>
      <c r="AI39">
        <v>6875364</v>
      </c>
      <c r="AJ39">
        <v>6938265</v>
      </c>
      <c r="AK39">
        <v>6993795</v>
      </c>
      <c r="AL39">
        <v>7040687</v>
      </c>
      <c r="AM39">
        <v>7071850</v>
      </c>
      <c r="AN39">
        <v>7088906</v>
      </c>
      <c r="AO39">
        <v>7110001</v>
      </c>
      <c r="AP39">
        <v>7143991</v>
      </c>
      <c r="AQ39">
        <v>7184250</v>
      </c>
      <c r="AR39">
        <v>7229854</v>
      </c>
      <c r="AS39">
        <v>7284753</v>
      </c>
      <c r="AT39">
        <v>7339001</v>
      </c>
      <c r="AU39">
        <v>7389625</v>
      </c>
      <c r="AV39">
        <v>7437115</v>
      </c>
      <c r="AW39">
        <v>7483934</v>
      </c>
      <c r="AX39">
        <v>7551117</v>
      </c>
      <c r="AY39">
        <v>7647675</v>
      </c>
      <c r="AZ39">
        <v>7743831</v>
      </c>
      <c r="BA39">
        <v>7824909</v>
      </c>
      <c r="BB39">
        <v>7912398</v>
      </c>
      <c r="BC39">
        <v>7996861</v>
      </c>
      <c r="BD39">
        <v>8089346</v>
      </c>
      <c r="BE39">
        <v>8188649</v>
      </c>
      <c r="BF39">
        <v>8282396</v>
      </c>
      <c r="BG39">
        <v>8373338</v>
      </c>
      <c r="BH39">
        <v>8451840</v>
      </c>
      <c r="BI39">
        <v>8514329</v>
      </c>
      <c r="BJ39">
        <v>8575280</v>
      </c>
      <c r="BK39">
        <v>8638167</v>
      </c>
      <c r="BL39">
        <v>8704546</v>
      </c>
      <c r="BM39">
        <v>8775760</v>
      </c>
      <c r="BN39">
        <v>8849852</v>
      </c>
    </row>
    <row r="40" spans="1:66" x14ac:dyDescent="0.3">
      <c r="A40" t="s">
        <v>1297</v>
      </c>
      <c r="B40" t="s">
        <v>1083</v>
      </c>
      <c r="C40">
        <v>109186</v>
      </c>
      <c r="D40">
        <v>110225</v>
      </c>
      <c r="E40">
        <v>111281</v>
      </c>
      <c r="F40">
        <v>112410</v>
      </c>
      <c r="G40">
        <v>113596</v>
      </c>
      <c r="H40">
        <v>114832</v>
      </c>
      <c r="I40">
        <v>116116</v>
      </c>
      <c r="J40">
        <v>117430</v>
      </c>
      <c r="K40">
        <v>118707</v>
      </c>
      <c r="L40">
        <v>119884</v>
      </c>
      <c r="M40">
        <v>121003</v>
      </c>
      <c r="N40">
        <v>122162</v>
      </c>
      <c r="O40">
        <v>123348</v>
      </c>
      <c r="P40">
        <v>124465</v>
      </c>
      <c r="Q40">
        <v>125486</v>
      </c>
      <c r="R40">
        <v>126393</v>
      </c>
      <c r="S40">
        <v>127052</v>
      </c>
      <c r="T40">
        <v>127425</v>
      </c>
      <c r="U40">
        <v>127667</v>
      </c>
      <c r="V40">
        <v>127850</v>
      </c>
      <c r="W40">
        <v>127984</v>
      </c>
      <c r="X40">
        <v>128510</v>
      </c>
      <c r="Y40">
        <v>129614</v>
      </c>
      <c r="Z40">
        <v>130881</v>
      </c>
      <c r="AA40">
        <v>132154</v>
      </c>
      <c r="AB40">
        <v>133450</v>
      </c>
      <c r="AC40">
        <v>134808</v>
      </c>
      <c r="AD40">
        <v>136264</v>
      </c>
      <c r="AE40">
        <v>137765</v>
      </c>
      <c r="AF40">
        <v>139228</v>
      </c>
      <c r="AG40">
        <v>140601</v>
      </c>
      <c r="AH40">
        <v>141557</v>
      </c>
      <c r="AI40">
        <v>142011</v>
      </c>
      <c r="AJ40">
        <v>142291</v>
      </c>
      <c r="AK40">
        <v>142466</v>
      </c>
      <c r="AL40">
        <v>142559</v>
      </c>
      <c r="AM40">
        <v>142898</v>
      </c>
      <c r="AN40">
        <v>143549</v>
      </c>
      <c r="AO40">
        <v>144211</v>
      </c>
      <c r="AP40">
        <v>144811</v>
      </c>
      <c r="AQ40">
        <v>145306</v>
      </c>
      <c r="AR40">
        <v>146044</v>
      </c>
      <c r="AS40">
        <v>147167</v>
      </c>
      <c r="AT40">
        <v>148341</v>
      </c>
      <c r="AU40">
        <v>149538</v>
      </c>
      <c r="AV40">
        <v>150763</v>
      </c>
      <c r="AW40">
        <v>151985</v>
      </c>
      <c r="AX40">
        <v>153225</v>
      </c>
      <c r="AY40">
        <v>154475</v>
      </c>
      <c r="AZ40">
        <v>155721</v>
      </c>
      <c r="BA40">
        <v>156933</v>
      </c>
      <c r="BB40">
        <v>157819</v>
      </c>
      <c r="BC40">
        <v>158621</v>
      </c>
      <c r="BD40">
        <v>159794</v>
      </c>
      <c r="BE40">
        <v>160912</v>
      </c>
      <c r="BF40">
        <v>162190</v>
      </c>
      <c r="BG40">
        <v>163721</v>
      </c>
      <c r="BH40">
        <v>165215</v>
      </c>
      <c r="BI40">
        <v>167259</v>
      </c>
      <c r="BJ40">
        <v>169410</v>
      </c>
      <c r="BK40">
        <v>171113</v>
      </c>
      <c r="BL40">
        <v>172683</v>
      </c>
      <c r="BM40">
        <v>174079</v>
      </c>
      <c r="BN40">
        <v>175346</v>
      </c>
    </row>
    <row r="41" spans="1:66" x14ac:dyDescent="0.3">
      <c r="A41" t="s">
        <v>1084</v>
      </c>
      <c r="B41" t="s">
        <v>1298</v>
      </c>
      <c r="C41">
        <v>8141820</v>
      </c>
      <c r="D41">
        <v>8313535</v>
      </c>
      <c r="E41">
        <v>8486120</v>
      </c>
      <c r="F41">
        <v>8656006</v>
      </c>
      <c r="G41">
        <v>8825046</v>
      </c>
      <c r="H41">
        <v>8994936</v>
      </c>
      <c r="I41">
        <v>9161649</v>
      </c>
      <c r="J41">
        <v>9326268</v>
      </c>
      <c r="K41">
        <v>9491502</v>
      </c>
      <c r="L41">
        <v>9656299</v>
      </c>
      <c r="M41">
        <v>9820481</v>
      </c>
      <c r="N41">
        <v>9984378</v>
      </c>
      <c r="O41">
        <v>10145765</v>
      </c>
      <c r="P41">
        <v>10307842</v>
      </c>
      <c r="Q41">
        <v>10472743</v>
      </c>
      <c r="R41">
        <v>10639531</v>
      </c>
      <c r="S41">
        <v>10804869</v>
      </c>
      <c r="T41">
        <v>10969861</v>
      </c>
      <c r="U41">
        <v>11137748</v>
      </c>
      <c r="V41">
        <v>11304331</v>
      </c>
      <c r="W41">
        <v>11469828</v>
      </c>
      <c r="X41">
        <v>11637613</v>
      </c>
      <c r="Y41">
        <v>11807408</v>
      </c>
      <c r="Z41">
        <v>11976513</v>
      </c>
      <c r="AA41">
        <v>12147758</v>
      </c>
      <c r="AB41">
        <v>12326396</v>
      </c>
      <c r="AC41">
        <v>12514502</v>
      </c>
      <c r="AD41">
        <v>12712784</v>
      </c>
      <c r="AE41">
        <v>12918389</v>
      </c>
      <c r="AF41">
        <v>13128619</v>
      </c>
      <c r="AG41">
        <v>13342868</v>
      </c>
      <c r="AH41">
        <v>13561945</v>
      </c>
      <c r="AI41">
        <v>13782297</v>
      </c>
      <c r="AJ41">
        <v>13998386</v>
      </c>
      <c r="AK41">
        <v>14210674</v>
      </c>
      <c r="AL41">
        <v>14416796</v>
      </c>
      <c r="AM41">
        <v>14615483</v>
      </c>
      <c r="AN41">
        <v>14809289</v>
      </c>
      <c r="AO41">
        <v>14996742</v>
      </c>
      <c r="AP41">
        <v>15176410</v>
      </c>
      <c r="AQ41">
        <v>15351799</v>
      </c>
      <c r="AR41">
        <v>15523978</v>
      </c>
      <c r="AS41">
        <v>15693790</v>
      </c>
      <c r="AT41">
        <v>15859112</v>
      </c>
      <c r="AU41">
        <v>16017966</v>
      </c>
      <c r="AV41">
        <v>16175311</v>
      </c>
      <c r="AW41">
        <v>16334575</v>
      </c>
      <c r="AX41">
        <v>16495538</v>
      </c>
      <c r="AY41">
        <v>16661462</v>
      </c>
      <c r="AZ41">
        <v>16833447</v>
      </c>
      <c r="BA41">
        <v>17004162</v>
      </c>
      <c r="BB41">
        <v>17173573</v>
      </c>
      <c r="BC41">
        <v>17341771</v>
      </c>
      <c r="BD41">
        <v>17509925</v>
      </c>
      <c r="BE41">
        <v>17687108</v>
      </c>
      <c r="BF41">
        <v>17870124</v>
      </c>
      <c r="BG41">
        <v>18083879</v>
      </c>
      <c r="BH41">
        <v>18368577</v>
      </c>
      <c r="BI41">
        <v>18701450</v>
      </c>
      <c r="BJ41">
        <v>19039485</v>
      </c>
      <c r="BK41">
        <v>19300315</v>
      </c>
      <c r="BL41">
        <v>19493184</v>
      </c>
      <c r="BM41">
        <v>19603733</v>
      </c>
      <c r="BN41">
        <v>19629590</v>
      </c>
    </row>
    <row r="42" spans="1:66" x14ac:dyDescent="0.3">
      <c r="A42" t="s">
        <v>17</v>
      </c>
      <c r="B42" t="s">
        <v>18</v>
      </c>
      <c r="C42">
        <v>667070000</v>
      </c>
      <c r="D42">
        <v>660330000</v>
      </c>
      <c r="E42">
        <v>665770000</v>
      </c>
      <c r="F42">
        <v>682335000</v>
      </c>
      <c r="G42">
        <v>698355000</v>
      </c>
      <c r="H42">
        <v>715185000</v>
      </c>
      <c r="I42">
        <v>735400000</v>
      </c>
      <c r="J42">
        <v>754550000</v>
      </c>
      <c r="K42">
        <v>774510000</v>
      </c>
      <c r="L42">
        <v>796025000</v>
      </c>
      <c r="M42">
        <v>818315000</v>
      </c>
      <c r="N42">
        <v>841105000</v>
      </c>
      <c r="O42">
        <v>862030000</v>
      </c>
      <c r="P42">
        <v>881940000</v>
      </c>
      <c r="Q42">
        <v>900350000</v>
      </c>
      <c r="R42">
        <v>916395000</v>
      </c>
      <c r="S42">
        <v>930685000</v>
      </c>
      <c r="T42">
        <v>943455000</v>
      </c>
      <c r="U42">
        <v>956165000</v>
      </c>
      <c r="V42">
        <v>969005000</v>
      </c>
      <c r="W42">
        <v>981235000</v>
      </c>
      <c r="X42">
        <v>993885000</v>
      </c>
      <c r="Y42">
        <v>1008630000</v>
      </c>
      <c r="Z42">
        <v>1023310000</v>
      </c>
      <c r="AA42">
        <v>1036825000</v>
      </c>
      <c r="AB42">
        <v>1051040000</v>
      </c>
      <c r="AC42">
        <v>1066790000</v>
      </c>
      <c r="AD42">
        <v>1084035000</v>
      </c>
      <c r="AE42">
        <v>1101630000</v>
      </c>
      <c r="AF42">
        <v>1118650000</v>
      </c>
      <c r="AG42">
        <v>1135185000</v>
      </c>
      <c r="AH42">
        <v>1150780000</v>
      </c>
      <c r="AI42">
        <v>1164970000</v>
      </c>
      <c r="AJ42">
        <v>1178440000</v>
      </c>
      <c r="AK42">
        <v>1191835000</v>
      </c>
      <c r="AL42">
        <v>1204855000</v>
      </c>
      <c r="AM42">
        <v>1217550000</v>
      </c>
      <c r="AN42">
        <v>1230075000</v>
      </c>
      <c r="AO42">
        <v>1241935000</v>
      </c>
      <c r="AP42">
        <v>1252735000</v>
      </c>
      <c r="AQ42">
        <v>1262645000</v>
      </c>
      <c r="AR42">
        <v>1271850000</v>
      </c>
      <c r="AS42">
        <v>1280400000</v>
      </c>
      <c r="AT42">
        <v>1288400000</v>
      </c>
      <c r="AU42">
        <v>1296075000</v>
      </c>
      <c r="AV42">
        <v>1303720000</v>
      </c>
      <c r="AW42">
        <v>1311020000</v>
      </c>
      <c r="AX42">
        <v>1317885000</v>
      </c>
      <c r="AY42">
        <v>1324655000</v>
      </c>
      <c r="AZ42">
        <v>1331260000</v>
      </c>
      <c r="BA42">
        <v>1337705000</v>
      </c>
      <c r="BB42">
        <v>1345035000</v>
      </c>
      <c r="BC42">
        <v>1354190000</v>
      </c>
      <c r="BD42">
        <v>1363240000</v>
      </c>
      <c r="BE42">
        <v>1371860000</v>
      </c>
      <c r="BF42">
        <v>1379860000</v>
      </c>
      <c r="BG42">
        <v>1387790000</v>
      </c>
      <c r="BH42">
        <v>1396215000</v>
      </c>
      <c r="BI42">
        <v>1402760000</v>
      </c>
      <c r="BJ42">
        <v>1407745000</v>
      </c>
      <c r="BK42">
        <v>1411100000</v>
      </c>
      <c r="BL42">
        <v>1412360000</v>
      </c>
      <c r="BM42">
        <v>1412175000</v>
      </c>
      <c r="BN42">
        <v>1410710000</v>
      </c>
    </row>
    <row r="43" spans="1:66" x14ac:dyDescent="0.3">
      <c r="A43" t="s">
        <v>1299</v>
      </c>
      <c r="B43" t="s">
        <v>1085</v>
      </c>
      <c r="C43">
        <v>3708661</v>
      </c>
      <c r="D43">
        <v>3848336</v>
      </c>
      <c r="E43">
        <v>3998287</v>
      </c>
      <c r="F43">
        <v>4156453</v>
      </c>
      <c r="G43">
        <v>4321368</v>
      </c>
      <c r="H43">
        <v>4492890</v>
      </c>
      <c r="I43">
        <v>4671196</v>
      </c>
      <c r="J43">
        <v>4856689</v>
      </c>
      <c r="K43">
        <v>5050106</v>
      </c>
      <c r="L43">
        <v>5255149</v>
      </c>
      <c r="M43">
        <v>5477086</v>
      </c>
      <c r="N43">
        <v>5718867</v>
      </c>
      <c r="O43">
        <v>5979984</v>
      </c>
      <c r="P43">
        <v>6257373</v>
      </c>
      <c r="Q43">
        <v>6548923</v>
      </c>
      <c r="R43">
        <v>6853981</v>
      </c>
      <c r="S43">
        <v>7142690</v>
      </c>
      <c r="T43">
        <v>7415900</v>
      </c>
      <c r="U43">
        <v>7700816</v>
      </c>
      <c r="V43">
        <v>7996368</v>
      </c>
      <c r="W43">
        <v>8303810</v>
      </c>
      <c r="X43">
        <v>8621621</v>
      </c>
      <c r="Y43">
        <v>8948119</v>
      </c>
      <c r="Z43">
        <v>9282050</v>
      </c>
      <c r="AA43">
        <v>9621405</v>
      </c>
      <c r="AB43">
        <v>9964075</v>
      </c>
      <c r="AC43">
        <v>10309440</v>
      </c>
      <c r="AD43">
        <v>10663498</v>
      </c>
      <c r="AE43">
        <v>11043193</v>
      </c>
      <c r="AF43">
        <v>11462943</v>
      </c>
      <c r="AG43">
        <v>11910540</v>
      </c>
      <c r="AH43">
        <v>12369269</v>
      </c>
      <c r="AI43">
        <v>12838314</v>
      </c>
      <c r="AJ43">
        <v>13316448</v>
      </c>
      <c r="AK43">
        <v>13802285</v>
      </c>
      <c r="AL43">
        <v>14299727</v>
      </c>
      <c r="AM43">
        <v>14810946</v>
      </c>
      <c r="AN43">
        <v>15335453</v>
      </c>
      <c r="AO43">
        <v>15858990</v>
      </c>
      <c r="AP43">
        <v>16345894</v>
      </c>
      <c r="AQ43">
        <v>16799670</v>
      </c>
      <c r="AR43">
        <v>17245468</v>
      </c>
      <c r="AS43">
        <v>17683897</v>
      </c>
      <c r="AT43">
        <v>18116451</v>
      </c>
      <c r="AU43">
        <v>18544903</v>
      </c>
      <c r="AV43">
        <v>18970215</v>
      </c>
      <c r="AW43">
        <v>19394057</v>
      </c>
      <c r="AX43">
        <v>19817700</v>
      </c>
      <c r="AY43">
        <v>20244449</v>
      </c>
      <c r="AZ43">
        <v>20677762</v>
      </c>
      <c r="BA43">
        <v>21120042</v>
      </c>
      <c r="BB43">
        <v>21562914</v>
      </c>
      <c r="BC43">
        <v>22010712</v>
      </c>
      <c r="BD43">
        <v>22469268</v>
      </c>
      <c r="BE43">
        <v>22995555</v>
      </c>
      <c r="BF43">
        <v>23596741</v>
      </c>
      <c r="BG43">
        <v>24213622</v>
      </c>
      <c r="BH43">
        <v>24848016</v>
      </c>
      <c r="BI43">
        <v>25493988</v>
      </c>
      <c r="BJ43">
        <v>26147551</v>
      </c>
      <c r="BK43">
        <v>26811790</v>
      </c>
      <c r="BL43">
        <v>27478249</v>
      </c>
      <c r="BM43">
        <v>28160542</v>
      </c>
      <c r="BN43">
        <v>28873034</v>
      </c>
    </row>
    <row r="44" spans="1:66" x14ac:dyDescent="0.3">
      <c r="A44" t="s">
        <v>1088</v>
      </c>
      <c r="B44" t="s">
        <v>1087</v>
      </c>
      <c r="C44">
        <v>5117608</v>
      </c>
      <c r="D44">
        <v>5200355</v>
      </c>
      <c r="E44">
        <v>5303841</v>
      </c>
      <c r="F44">
        <v>5427511</v>
      </c>
      <c r="G44">
        <v>5556209</v>
      </c>
      <c r="H44">
        <v>5690086</v>
      </c>
      <c r="I44">
        <v>5829580</v>
      </c>
      <c r="J44">
        <v>5975087</v>
      </c>
      <c r="K44">
        <v>6127193</v>
      </c>
      <c r="L44">
        <v>6286232</v>
      </c>
      <c r="M44">
        <v>6452787</v>
      </c>
      <c r="N44">
        <v>6627350</v>
      </c>
      <c r="O44">
        <v>6809468</v>
      </c>
      <c r="P44">
        <v>6998688</v>
      </c>
      <c r="Q44">
        <v>7194697</v>
      </c>
      <c r="R44">
        <v>7397417</v>
      </c>
      <c r="S44">
        <v>7598028</v>
      </c>
      <c r="T44">
        <v>7796825</v>
      </c>
      <c r="U44">
        <v>8013279</v>
      </c>
      <c r="V44">
        <v>8243377</v>
      </c>
      <c r="W44">
        <v>8519891</v>
      </c>
      <c r="X44">
        <v>8829048</v>
      </c>
      <c r="Y44">
        <v>9046986</v>
      </c>
      <c r="Z44">
        <v>9240672</v>
      </c>
      <c r="AA44">
        <v>9508570</v>
      </c>
      <c r="AB44">
        <v>9804254</v>
      </c>
      <c r="AC44">
        <v>10112712</v>
      </c>
      <c r="AD44">
        <v>10433905</v>
      </c>
      <c r="AE44">
        <v>10759573</v>
      </c>
      <c r="AF44">
        <v>11089222</v>
      </c>
      <c r="AG44">
        <v>11430520</v>
      </c>
      <c r="AH44">
        <v>11777719</v>
      </c>
      <c r="AI44">
        <v>12128604</v>
      </c>
      <c r="AJ44">
        <v>12486773</v>
      </c>
      <c r="AK44">
        <v>12848862</v>
      </c>
      <c r="AL44">
        <v>13211647</v>
      </c>
      <c r="AM44">
        <v>13575324</v>
      </c>
      <c r="AN44">
        <v>13941181</v>
      </c>
      <c r="AO44">
        <v>14314599</v>
      </c>
      <c r="AP44">
        <v>14698973</v>
      </c>
      <c r="AQ44">
        <v>15091594</v>
      </c>
      <c r="AR44">
        <v>15493253</v>
      </c>
      <c r="AS44">
        <v>15914033</v>
      </c>
      <c r="AT44">
        <v>16354326</v>
      </c>
      <c r="AU44">
        <v>16809407</v>
      </c>
      <c r="AV44">
        <v>17275171</v>
      </c>
      <c r="AW44">
        <v>17751333</v>
      </c>
      <c r="AX44">
        <v>18251866</v>
      </c>
      <c r="AY44">
        <v>18777081</v>
      </c>
      <c r="AZ44">
        <v>19319274</v>
      </c>
      <c r="BA44">
        <v>19878036</v>
      </c>
      <c r="BB44">
        <v>20448873</v>
      </c>
      <c r="BC44">
        <v>21032684</v>
      </c>
      <c r="BD44">
        <v>21632850</v>
      </c>
      <c r="BE44">
        <v>22299585</v>
      </c>
      <c r="BF44">
        <v>23012646</v>
      </c>
      <c r="BG44">
        <v>23711630</v>
      </c>
      <c r="BH44">
        <v>24393181</v>
      </c>
      <c r="BI44">
        <v>25076747</v>
      </c>
      <c r="BJ44">
        <v>25782341</v>
      </c>
      <c r="BK44">
        <v>26491087</v>
      </c>
      <c r="BL44">
        <v>27198628</v>
      </c>
      <c r="BM44">
        <v>27914536</v>
      </c>
      <c r="BN44">
        <v>28647293</v>
      </c>
    </row>
    <row r="45" spans="1:66" x14ac:dyDescent="0.3">
      <c r="A45" t="s">
        <v>1300</v>
      </c>
      <c r="B45" t="s">
        <v>1089</v>
      </c>
      <c r="C45">
        <v>15276558</v>
      </c>
      <c r="D45">
        <v>15673284</v>
      </c>
      <c r="E45">
        <v>16086084</v>
      </c>
      <c r="F45">
        <v>16517995</v>
      </c>
      <c r="G45">
        <v>16965855</v>
      </c>
      <c r="H45">
        <v>17438254</v>
      </c>
      <c r="I45">
        <v>17941738</v>
      </c>
      <c r="J45">
        <v>18472105</v>
      </c>
      <c r="K45">
        <v>19022799</v>
      </c>
      <c r="L45">
        <v>19583123</v>
      </c>
      <c r="M45">
        <v>20151733</v>
      </c>
      <c r="N45">
        <v>20712952</v>
      </c>
      <c r="O45">
        <v>21273409</v>
      </c>
      <c r="P45">
        <v>21853906</v>
      </c>
      <c r="Q45">
        <v>22448415</v>
      </c>
      <c r="R45">
        <v>23052715</v>
      </c>
      <c r="S45">
        <v>23655016</v>
      </c>
      <c r="T45">
        <v>24256464</v>
      </c>
      <c r="U45">
        <v>25015244</v>
      </c>
      <c r="V45">
        <v>25902760</v>
      </c>
      <c r="W45">
        <v>26708686</v>
      </c>
      <c r="X45">
        <v>27457783</v>
      </c>
      <c r="Y45">
        <v>28219219</v>
      </c>
      <c r="Z45">
        <v>29005175</v>
      </c>
      <c r="AA45">
        <v>29879852</v>
      </c>
      <c r="AB45">
        <v>30800051</v>
      </c>
      <c r="AC45">
        <v>31725132</v>
      </c>
      <c r="AD45">
        <v>32712574</v>
      </c>
      <c r="AE45">
        <v>33750052</v>
      </c>
      <c r="AF45">
        <v>34825891</v>
      </c>
      <c r="AG45">
        <v>35987541</v>
      </c>
      <c r="AH45">
        <v>37194812</v>
      </c>
      <c r="AI45">
        <v>38332302</v>
      </c>
      <c r="AJ45">
        <v>39580844</v>
      </c>
      <c r="AK45">
        <v>41511985</v>
      </c>
      <c r="AL45">
        <v>43285791</v>
      </c>
      <c r="AM45">
        <v>44118709</v>
      </c>
      <c r="AN45">
        <v>44822198</v>
      </c>
      <c r="AO45">
        <v>45895524</v>
      </c>
      <c r="AP45">
        <v>47227238</v>
      </c>
      <c r="AQ45">
        <v>48616317</v>
      </c>
      <c r="AR45">
        <v>50106657</v>
      </c>
      <c r="AS45">
        <v>51662071</v>
      </c>
      <c r="AT45">
        <v>53205639</v>
      </c>
      <c r="AU45">
        <v>54815607</v>
      </c>
      <c r="AV45">
        <v>56550247</v>
      </c>
      <c r="AW45">
        <v>58381630</v>
      </c>
      <c r="AX45">
        <v>60289422</v>
      </c>
      <c r="AY45">
        <v>62249724</v>
      </c>
      <c r="AZ45">
        <v>64270232</v>
      </c>
      <c r="BA45">
        <v>66391257</v>
      </c>
      <c r="BB45">
        <v>68654269</v>
      </c>
      <c r="BC45">
        <v>70997870</v>
      </c>
      <c r="BD45">
        <v>73460021</v>
      </c>
      <c r="BE45">
        <v>76035588</v>
      </c>
      <c r="BF45">
        <v>78656904</v>
      </c>
      <c r="BG45">
        <v>81430977</v>
      </c>
      <c r="BH45">
        <v>84283273</v>
      </c>
      <c r="BI45">
        <v>87087355</v>
      </c>
      <c r="BJ45">
        <v>89906890</v>
      </c>
      <c r="BK45">
        <v>92853164</v>
      </c>
      <c r="BL45">
        <v>95894118</v>
      </c>
      <c r="BM45">
        <v>99010212</v>
      </c>
      <c r="BN45">
        <v>102262808</v>
      </c>
    </row>
    <row r="46" spans="1:66" x14ac:dyDescent="0.3">
      <c r="A46" t="s">
        <v>1301</v>
      </c>
      <c r="B46" t="s">
        <v>1302</v>
      </c>
      <c r="C46">
        <v>1055693</v>
      </c>
      <c r="D46">
        <v>1083431</v>
      </c>
      <c r="E46">
        <v>1112348</v>
      </c>
      <c r="F46">
        <v>1142600</v>
      </c>
      <c r="G46">
        <v>1174269</v>
      </c>
      <c r="H46">
        <v>1207412</v>
      </c>
      <c r="I46">
        <v>1242116</v>
      </c>
      <c r="J46">
        <v>1278312</v>
      </c>
      <c r="K46">
        <v>1316130</v>
      </c>
      <c r="L46">
        <v>1355699</v>
      </c>
      <c r="M46">
        <v>1396989</v>
      </c>
      <c r="N46">
        <v>1440159</v>
      </c>
      <c r="O46">
        <v>1485274</v>
      </c>
      <c r="P46">
        <v>1532069</v>
      </c>
      <c r="Q46">
        <v>1580280</v>
      </c>
      <c r="R46">
        <v>1624935</v>
      </c>
      <c r="S46">
        <v>1665418</v>
      </c>
      <c r="T46">
        <v>1706181</v>
      </c>
      <c r="U46">
        <v>1747207</v>
      </c>
      <c r="V46">
        <v>1788218</v>
      </c>
      <c r="W46">
        <v>1829256</v>
      </c>
      <c r="X46">
        <v>1870540</v>
      </c>
      <c r="Y46">
        <v>1911634</v>
      </c>
      <c r="Z46">
        <v>1951851</v>
      </c>
      <c r="AA46">
        <v>2001739</v>
      </c>
      <c r="AB46">
        <v>2062555</v>
      </c>
      <c r="AC46">
        <v>2124863</v>
      </c>
      <c r="AD46">
        <v>2188654</v>
      </c>
      <c r="AE46">
        <v>2253336</v>
      </c>
      <c r="AF46">
        <v>2319177</v>
      </c>
      <c r="AG46">
        <v>2385435</v>
      </c>
      <c r="AH46">
        <v>2452675</v>
      </c>
      <c r="AI46">
        <v>2520958</v>
      </c>
      <c r="AJ46">
        <v>2594168</v>
      </c>
      <c r="AK46">
        <v>2669220</v>
      </c>
      <c r="AL46">
        <v>2742309</v>
      </c>
      <c r="AM46">
        <v>2816595</v>
      </c>
      <c r="AN46">
        <v>2875037</v>
      </c>
      <c r="AO46">
        <v>2937166</v>
      </c>
      <c r="AP46">
        <v>3016659</v>
      </c>
      <c r="AQ46">
        <v>3134030</v>
      </c>
      <c r="AR46">
        <v>3254101</v>
      </c>
      <c r="AS46">
        <v>3331158</v>
      </c>
      <c r="AT46">
        <v>3424653</v>
      </c>
      <c r="AU46">
        <v>3543012</v>
      </c>
      <c r="AV46">
        <v>3672839</v>
      </c>
      <c r="AW46">
        <v>3813323</v>
      </c>
      <c r="AX46">
        <v>3956329</v>
      </c>
      <c r="AY46">
        <v>4089602</v>
      </c>
      <c r="AZ46">
        <v>4257230</v>
      </c>
      <c r="BA46">
        <v>4437884</v>
      </c>
      <c r="BB46">
        <v>4584216</v>
      </c>
      <c r="BC46">
        <v>4713257</v>
      </c>
      <c r="BD46">
        <v>4828066</v>
      </c>
      <c r="BE46">
        <v>4944861</v>
      </c>
      <c r="BF46">
        <v>5064386</v>
      </c>
      <c r="BG46">
        <v>5186824</v>
      </c>
      <c r="BH46">
        <v>5312340</v>
      </c>
      <c r="BI46">
        <v>5441062</v>
      </c>
      <c r="BJ46">
        <v>5570733</v>
      </c>
      <c r="BK46">
        <v>5702174</v>
      </c>
      <c r="BL46">
        <v>5835806</v>
      </c>
      <c r="BM46">
        <v>5970424</v>
      </c>
      <c r="BN46">
        <v>6106869</v>
      </c>
    </row>
    <row r="47" spans="1:66" x14ac:dyDescent="0.3">
      <c r="A47" t="s">
        <v>1094</v>
      </c>
      <c r="B47" t="s">
        <v>1093</v>
      </c>
      <c r="C47">
        <v>15687688</v>
      </c>
      <c r="D47">
        <v>16182414</v>
      </c>
      <c r="E47">
        <v>16691282</v>
      </c>
      <c r="F47">
        <v>17210956</v>
      </c>
      <c r="G47">
        <v>17739754</v>
      </c>
      <c r="H47">
        <v>18275814</v>
      </c>
      <c r="I47">
        <v>18811407</v>
      </c>
      <c r="J47">
        <v>19343961</v>
      </c>
      <c r="K47">
        <v>19872503</v>
      </c>
      <c r="L47">
        <v>20392264</v>
      </c>
      <c r="M47">
        <v>20905254</v>
      </c>
      <c r="N47">
        <v>21405413</v>
      </c>
      <c r="O47">
        <v>21898055</v>
      </c>
      <c r="P47">
        <v>22396318</v>
      </c>
      <c r="Q47">
        <v>22897871</v>
      </c>
      <c r="R47">
        <v>23403731</v>
      </c>
      <c r="S47">
        <v>23913002</v>
      </c>
      <c r="T47">
        <v>24443926</v>
      </c>
      <c r="U47">
        <v>25003608</v>
      </c>
      <c r="V47">
        <v>25579323</v>
      </c>
      <c r="W47">
        <v>26176195</v>
      </c>
      <c r="X47">
        <v>26785982</v>
      </c>
      <c r="Y47">
        <v>27405194</v>
      </c>
      <c r="Z47">
        <v>28042329</v>
      </c>
      <c r="AA47">
        <v>28689032</v>
      </c>
      <c r="AB47">
        <v>29326260</v>
      </c>
      <c r="AC47">
        <v>29960101</v>
      </c>
      <c r="AD47">
        <v>30603048</v>
      </c>
      <c r="AE47">
        <v>31256727</v>
      </c>
      <c r="AF47">
        <v>31923117</v>
      </c>
      <c r="AG47">
        <v>32601393</v>
      </c>
      <c r="AH47">
        <v>33272628</v>
      </c>
      <c r="AI47">
        <v>33939039</v>
      </c>
      <c r="AJ47">
        <v>34614735</v>
      </c>
      <c r="AK47">
        <v>35295461</v>
      </c>
      <c r="AL47">
        <v>35970101</v>
      </c>
      <c r="AM47">
        <v>36632573</v>
      </c>
      <c r="AN47">
        <v>37291946</v>
      </c>
      <c r="AO47">
        <v>37944414</v>
      </c>
      <c r="AP47">
        <v>38585033</v>
      </c>
      <c r="AQ47">
        <v>39215135</v>
      </c>
      <c r="AR47">
        <v>39837875</v>
      </c>
      <c r="AS47">
        <v>40454050</v>
      </c>
      <c r="AT47">
        <v>41057687</v>
      </c>
      <c r="AU47">
        <v>41648268</v>
      </c>
      <c r="AV47">
        <v>42220940</v>
      </c>
      <c r="AW47">
        <v>42772910</v>
      </c>
      <c r="AX47">
        <v>43306582</v>
      </c>
      <c r="AY47">
        <v>43815313</v>
      </c>
      <c r="AZ47">
        <v>44313917</v>
      </c>
      <c r="BA47">
        <v>44816108</v>
      </c>
      <c r="BB47">
        <v>45308899</v>
      </c>
      <c r="BC47">
        <v>45782417</v>
      </c>
      <c r="BD47">
        <v>46237930</v>
      </c>
      <c r="BE47">
        <v>46677947</v>
      </c>
      <c r="BF47">
        <v>47119728</v>
      </c>
      <c r="BG47">
        <v>47625955</v>
      </c>
      <c r="BH47">
        <v>48351671</v>
      </c>
      <c r="BI47">
        <v>49276961</v>
      </c>
      <c r="BJ47">
        <v>50187406</v>
      </c>
      <c r="BK47">
        <v>50930662</v>
      </c>
      <c r="BL47">
        <v>51516562</v>
      </c>
      <c r="BM47">
        <v>51874024</v>
      </c>
      <c r="BN47">
        <v>52085168</v>
      </c>
    </row>
    <row r="48" spans="1:66" x14ac:dyDescent="0.3">
      <c r="A48" t="s">
        <v>1096</v>
      </c>
      <c r="B48" t="s">
        <v>1095</v>
      </c>
      <c r="C48">
        <v>194852</v>
      </c>
      <c r="D48">
        <v>198617</v>
      </c>
      <c r="E48">
        <v>202527</v>
      </c>
      <c r="F48">
        <v>206546</v>
      </c>
      <c r="G48">
        <v>210665</v>
      </c>
      <c r="H48">
        <v>214939</v>
      </c>
      <c r="I48">
        <v>219369</v>
      </c>
      <c r="J48">
        <v>224321</v>
      </c>
      <c r="K48">
        <v>229971</v>
      </c>
      <c r="L48">
        <v>236002</v>
      </c>
      <c r="M48">
        <v>242351</v>
      </c>
      <c r="N48">
        <v>249066</v>
      </c>
      <c r="O48">
        <v>256187</v>
      </c>
      <c r="P48">
        <v>263728</v>
      </c>
      <c r="Q48">
        <v>271719</v>
      </c>
      <c r="R48">
        <v>280036</v>
      </c>
      <c r="S48">
        <v>288810</v>
      </c>
      <c r="T48">
        <v>298152</v>
      </c>
      <c r="U48">
        <v>307938</v>
      </c>
      <c r="V48">
        <v>318123</v>
      </c>
      <c r="W48">
        <v>328328</v>
      </c>
      <c r="X48">
        <v>337986</v>
      </c>
      <c r="Y48">
        <v>347053</v>
      </c>
      <c r="Z48">
        <v>356137</v>
      </c>
      <c r="AA48">
        <v>365664</v>
      </c>
      <c r="AB48">
        <v>375650</v>
      </c>
      <c r="AC48">
        <v>386068</v>
      </c>
      <c r="AD48">
        <v>396887</v>
      </c>
      <c r="AE48">
        <v>408070</v>
      </c>
      <c r="AF48">
        <v>419584</v>
      </c>
      <c r="AG48">
        <v>431119</v>
      </c>
      <c r="AH48">
        <v>442277</v>
      </c>
      <c r="AI48">
        <v>452990</v>
      </c>
      <c r="AJ48">
        <v>463318</v>
      </c>
      <c r="AK48">
        <v>473478</v>
      </c>
      <c r="AL48">
        <v>483760</v>
      </c>
      <c r="AM48">
        <v>494288</v>
      </c>
      <c r="AN48">
        <v>505033</v>
      </c>
      <c r="AO48">
        <v>515959</v>
      </c>
      <c r="AP48">
        <v>526443</v>
      </c>
      <c r="AQ48">
        <v>536758</v>
      </c>
      <c r="AR48">
        <v>547741</v>
      </c>
      <c r="AS48">
        <v>559047</v>
      </c>
      <c r="AT48">
        <v>570130</v>
      </c>
      <c r="AU48">
        <v>581154</v>
      </c>
      <c r="AV48">
        <v>592683</v>
      </c>
      <c r="AW48">
        <v>604658</v>
      </c>
      <c r="AX48">
        <v>616899</v>
      </c>
      <c r="AY48">
        <v>629470</v>
      </c>
      <c r="AZ48">
        <v>642493</v>
      </c>
      <c r="BA48">
        <v>656024</v>
      </c>
      <c r="BB48">
        <v>670071</v>
      </c>
      <c r="BC48">
        <v>684553</v>
      </c>
      <c r="BD48">
        <v>699393</v>
      </c>
      <c r="BE48">
        <v>714612</v>
      </c>
      <c r="BF48">
        <v>730216</v>
      </c>
      <c r="BG48">
        <v>746232</v>
      </c>
      <c r="BH48">
        <v>761664</v>
      </c>
      <c r="BI48">
        <v>776313</v>
      </c>
      <c r="BJ48">
        <v>790986</v>
      </c>
      <c r="BK48">
        <v>806166</v>
      </c>
      <c r="BL48">
        <v>821625</v>
      </c>
      <c r="BM48">
        <v>836774</v>
      </c>
      <c r="BN48">
        <v>852075</v>
      </c>
    </row>
    <row r="49" spans="1:66" x14ac:dyDescent="0.3">
      <c r="A49" t="s">
        <v>1303</v>
      </c>
      <c r="B49" t="s">
        <v>1097</v>
      </c>
      <c r="C49">
        <v>209849</v>
      </c>
      <c r="D49">
        <v>214788</v>
      </c>
      <c r="E49">
        <v>221484</v>
      </c>
      <c r="F49">
        <v>228814</v>
      </c>
      <c r="G49">
        <v>236362</v>
      </c>
      <c r="H49">
        <v>244156</v>
      </c>
      <c r="I49">
        <v>252238</v>
      </c>
      <c r="J49">
        <v>260648</v>
      </c>
      <c r="K49">
        <v>269408</v>
      </c>
      <c r="L49">
        <v>278524</v>
      </c>
      <c r="M49">
        <v>287262</v>
      </c>
      <c r="N49">
        <v>293505</v>
      </c>
      <c r="O49">
        <v>296818</v>
      </c>
      <c r="P49">
        <v>299191</v>
      </c>
      <c r="Q49">
        <v>301682</v>
      </c>
      <c r="R49">
        <v>304375</v>
      </c>
      <c r="S49">
        <v>307015</v>
      </c>
      <c r="T49">
        <v>309389</v>
      </c>
      <c r="U49">
        <v>311685</v>
      </c>
      <c r="V49">
        <v>313995</v>
      </c>
      <c r="W49">
        <v>317234</v>
      </c>
      <c r="X49">
        <v>321634</v>
      </c>
      <c r="Y49">
        <v>326319</v>
      </c>
      <c r="Z49">
        <v>330971</v>
      </c>
      <c r="AA49">
        <v>335473</v>
      </c>
      <c r="AB49">
        <v>339874</v>
      </c>
      <c r="AC49">
        <v>344271</v>
      </c>
      <c r="AD49">
        <v>348718</v>
      </c>
      <c r="AE49">
        <v>353233</v>
      </c>
      <c r="AF49">
        <v>358150</v>
      </c>
      <c r="AG49">
        <v>364563</v>
      </c>
      <c r="AH49">
        <v>372721</v>
      </c>
      <c r="AI49">
        <v>381947</v>
      </c>
      <c r="AJ49">
        <v>391749</v>
      </c>
      <c r="AK49">
        <v>401655</v>
      </c>
      <c r="AL49">
        <v>411382</v>
      </c>
      <c r="AM49">
        <v>421007</v>
      </c>
      <c r="AN49">
        <v>430654</v>
      </c>
      <c r="AO49">
        <v>440214</v>
      </c>
      <c r="AP49">
        <v>449627</v>
      </c>
      <c r="AQ49">
        <v>458251</v>
      </c>
      <c r="AR49">
        <v>465958</v>
      </c>
      <c r="AS49">
        <v>473231</v>
      </c>
      <c r="AT49">
        <v>480089</v>
      </c>
      <c r="AU49">
        <v>486583</v>
      </c>
      <c r="AV49">
        <v>492827</v>
      </c>
      <c r="AW49">
        <v>498884</v>
      </c>
      <c r="AX49">
        <v>504733</v>
      </c>
      <c r="AY49">
        <v>510336</v>
      </c>
      <c r="AZ49">
        <v>515638</v>
      </c>
      <c r="BA49">
        <v>521212</v>
      </c>
      <c r="BB49">
        <v>527521</v>
      </c>
      <c r="BC49">
        <v>533864</v>
      </c>
      <c r="BD49">
        <v>539940</v>
      </c>
      <c r="BE49">
        <v>546076</v>
      </c>
      <c r="BF49">
        <v>552166</v>
      </c>
      <c r="BG49">
        <v>558394</v>
      </c>
      <c r="BH49">
        <v>564954</v>
      </c>
      <c r="BI49">
        <v>571202</v>
      </c>
      <c r="BJ49">
        <v>577030</v>
      </c>
      <c r="BK49">
        <v>582640</v>
      </c>
      <c r="BL49">
        <v>587925</v>
      </c>
      <c r="BM49">
        <v>593149</v>
      </c>
      <c r="BN49">
        <v>598682</v>
      </c>
    </row>
    <row r="50" spans="1:66" x14ac:dyDescent="0.3">
      <c r="A50" t="s">
        <v>1100</v>
      </c>
      <c r="B50" t="s">
        <v>1304</v>
      </c>
      <c r="C50">
        <v>1346302</v>
      </c>
      <c r="D50">
        <v>1396138</v>
      </c>
      <c r="E50">
        <v>1447037</v>
      </c>
      <c r="F50">
        <v>1498647</v>
      </c>
      <c r="G50">
        <v>1550661</v>
      </c>
      <c r="H50">
        <v>1602736</v>
      </c>
      <c r="I50">
        <v>1654619</v>
      </c>
      <c r="J50">
        <v>1706062</v>
      </c>
      <c r="K50">
        <v>1756333</v>
      </c>
      <c r="L50">
        <v>1805968</v>
      </c>
      <c r="M50">
        <v>1855697</v>
      </c>
      <c r="N50">
        <v>1905486</v>
      </c>
      <c r="O50">
        <v>1955547</v>
      </c>
      <c r="P50">
        <v>2006247</v>
      </c>
      <c r="Q50">
        <v>2058235</v>
      </c>
      <c r="R50">
        <v>2111850</v>
      </c>
      <c r="S50">
        <v>2167544</v>
      </c>
      <c r="T50">
        <v>2225630</v>
      </c>
      <c r="U50">
        <v>2286210</v>
      </c>
      <c r="V50">
        <v>2349258</v>
      </c>
      <c r="W50">
        <v>2414303</v>
      </c>
      <c r="X50">
        <v>2481334</v>
      </c>
      <c r="Y50">
        <v>2550780</v>
      </c>
      <c r="Z50">
        <v>2622532</v>
      </c>
      <c r="AA50">
        <v>2696200</v>
      </c>
      <c r="AB50">
        <v>2771463</v>
      </c>
      <c r="AC50">
        <v>2847849</v>
      </c>
      <c r="AD50">
        <v>2924595</v>
      </c>
      <c r="AE50">
        <v>3001461</v>
      </c>
      <c r="AF50">
        <v>3079001</v>
      </c>
      <c r="AG50">
        <v>3158253</v>
      </c>
      <c r="AH50">
        <v>3239414</v>
      </c>
      <c r="AI50">
        <v>3321939</v>
      </c>
      <c r="AJ50">
        <v>3405372</v>
      </c>
      <c r="AK50">
        <v>3489152</v>
      </c>
      <c r="AL50">
        <v>3572856</v>
      </c>
      <c r="AM50">
        <v>3656234</v>
      </c>
      <c r="AN50">
        <v>3739421</v>
      </c>
      <c r="AO50">
        <v>3821421</v>
      </c>
      <c r="AP50">
        <v>3901430</v>
      </c>
      <c r="AQ50">
        <v>3979193</v>
      </c>
      <c r="AR50">
        <v>4053222</v>
      </c>
      <c r="AS50">
        <v>4122623</v>
      </c>
      <c r="AT50">
        <v>4188610</v>
      </c>
      <c r="AU50">
        <v>4252800</v>
      </c>
      <c r="AV50">
        <v>4315887</v>
      </c>
      <c r="AW50">
        <v>4378172</v>
      </c>
      <c r="AX50">
        <v>4440019</v>
      </c>
      <c r="AY50">
        <v>4501921</v>
      </c>
      <c r="AZ50">
        <v>4563127</v>
      </c>
      <c r="BA50">
        <v>4622252</v>
      </c>
      <c r="BB50">
        <v>4679926</v>
      </c>
      <c r="BC50">
        <v>4736593</v>
      </c>
      <c r="BD50">
        <v>4791535</v>
      </c>
      <c r="BE50">
        <v>4844288</v>
      </c>
      <c r="BF50">
        <v>4895242</v>
      </c>
      <c r="BG50">
        <v>4945205</v>
      </c>
      <c r="BH50">
        <v>4993842</v>
      </c>
      <c r="BI50">
        <v>5040734</v>
      </c>
      <c r="BJ50">
        <v>5084532</v>
      </c>
      <c r="BK50">
        <v>5123105</v>
      </c>
      <c r="BL50">
        <v>5153957</v>
      </c>
      <c r="BM50">
        <v>5180829</v>
      </c>
      <c r="BN50">
        <v>5212173</v>
      </c>
    </row>
    <row r="51" spans="1:66" x14ac:dyDescent="0.3">
      <c r="A51" t="s">
        <v>1305</v>
      </c>
      <c r="B51" t="s">
        <v>1306</v>
      </c>
      <c r="C51">
        <v>1719747</v>
      </c>
      <c r="D51">
        <v>1760647</v>
      </c>
      <c r="E51">
        <v>1801140</v>
      </c>
      <c r="F51">
        <v>1842018</v>
      </c>
      <c r="G51">
        <v>1882012</v>
      </c>
      <c r="H51">
        <v>1920806</v>
      </c>
      <c r="I51">
        <v>1959063</v>
      </c>
      <c r="J51">
        <v>1996792</v>
      </c>
      <c r="K51">
        <v>2034050</v>
      </c>
      <c r="L51">
        <v>2070611</v>
      </c>
      <c r="M51">
        <v>2105333</v>
      </c>
      <c r="N51">
        <v>2137603</v>
      </c>
      <c r="O51">
        <v>2161722</v>
      </c>
      <c r="P51">
        <v>2178240</v>
      </c>
      <c r="Q51">
        <v>2193773</v>
      </c>
      <c r="R51">
        <v>2209263</v>
      </c>
      <c r="S51">
        <v>2225099</v>
      </c>
      <c r="T51">
        <v>2240643</v>
      </c>
      <c r="U51">
        <v>2255168</v>
      </c>
      <c r="V51">
        <v>2267669</v>
      </c>
      <c r="W51">
        <v>2280663</v>
      </c>
      <c r="X51">
        <v>2295232</v>
      </c>
      <c r="Y51">
        <v>2309508</v>
      </c>
      <c r="Z51">
        <v>2323503</v>
      </c>
      <c r="AA51">
        <v>2337040</v>
      </c>
      <c r="AB51">
        <v>2350145</v>
      </c>
      <c r="AC51">
        <v>2362152</v>
      </c>
      <c r="AD51">
        <v>2371752</v>
      </c>
      <c r="AE51">
        <v>2380933</v>
      </c>
      <c r="AF51">
        <v>2390808</v>
      </c>
      <c r="AG51">
        <v>2399288</v>
      </c>
      <c r="AH51">
        <v>2412122</v>
      </c>
      <c r="AI51">
        <v>2432356</v>
      </c>
      <c r="AJ51">
        <v>2453739</v>
      </c>
      <c r="AK51">
        <v>2476169</v>
      </c>
      <c r="AL51">
        <v>2502323</v>
      </c>
      <c r="AM51">
        <v>2530137</v>
      </c>
      <c r="AN51">
        <v>2557844</v>
      </c>
      <c r="AO51">
        <v>2585353</v>
      </c>
      <c r="AP51">
        <v>2612065</v>
      </c>
      <c r="AQ51">
        <v>2637733</v>
      </c>
      <c r="AR51">
        <v>2662831</v>
      </c>
      <c r="AS51">
        <v>2687634</v>
      </c>
      <c r="AT51">
        <v>2712172</v>
      </c>
      <c r="AU51">
        <v>2735176</v>
      </c>
      <c r="AV51">
        <v>2756536</v>
      </c>
      <c r="AW51">
        <v>2777604</v>
      </c>
      <c r="AX51">
        <v>2798623</v>
      </c>
      <c r="AY51">
        <v>2819748</v>
      </c>
      <c r="AZ51">
        <v>2840648</v>
      </c>
      <c r="BA51">
        <v>2860236</v>
      </c>
      <c r="BB51">
        <v>2878168</v>
      </c>
      <c r="BC51">
        <v>2898802</v>
      </c>
      <c r="BD51">
        <v>2922026</v>
      </c>
      <c r="BE51">
        <v>2945840</v>
      </c>
      <c r="BF51">
        <v>2969980</v>
      </c>
      <c r="BG51">
        <v>2993247</v>
      </c>
      <c r="BH51">
        <v>3016651</v>
      </c>
      <c r="BI51">
        <v>3058106</v>
      </c>
      <c r="BJ51">
        <v>3090374</v>
      </c>
      <c r="BK51">
        <v>3106185</v>
      </c>
      <c r="BL51">
        <v>3128519</v>
      </c>
      <c r="BM51">
        <v>3147057</v>
      </c>
      <c r="BN51">
        <v>3167738</v>
      </c>
    </row>
    <row r="52" spans="1:66" x14ac:dyDescent="0.3">
      <c r="A52" t="s">
        <v>1107</v>
      </c>
      <c r="B52" t="s">
        <v>1106</v>
      </c>
      <c r="C52">
        <v>7267395</v>
      </c>
      <c r="D52">
        <v>7418518</v>
      </c>
      <c r="E52">
        <v>7574265</v>
      </c>
      <c r="F52">
        <v>7736352</v>
      </c>
      <c r="G52">
        <v>7902286</v>
      </c>
      <c r="H52">
        <v>8067651</v>
      </c>
      <c r="I52">
        <v>8230450</v>
      </c>
      <c r="J52">
        <v>8390962</v>
      </c>
      <c r="K52">
        <v>8550286</v>
      </c>
      <c r="L52">
        <v>8709654</v>
      </c>
      <c r="M52">
        <v>8869636</v>
      </c>
      <c r="N52">
        <v>9025709</v>
      </c>
      <c r="O52">
        <v>9169289</v>
      </c>
      <c r="P52">
        <v>9297924</v>
      </c>
      <c r="Q52">
        <v>9413105</v>
      </c>
      <c r="R52">
        <v>9514305</v>
      </c>
      <c r="S52">
        <v>9600862</v>
      </c>
      <c r="T52">
        <v>9672546</v>
      </c>
      <c r="U52">
        <v>9729986</v>
      </c>
      <c r="V52">
        <v>9774711</v>
      </c>
      <c r="W52">
        <v>9809107</v>
      </c>
      <c r="X52">
        <v>9848560</v>
      </c>
      <c r="Y52">
        <v>9908874</v>
      </c>
      <c r="Z52">
        <v>9984591</v>
      </c>
      <c r="AA52">
        <v>10065539</v>
      </c>
      <c r="AB52">
        <v>10149044</v>
      </c>
      <c r="AC52">
        <v>10235480</v>
      </c>
      <c r="AD52">
        <v>10326910</v>
      </c>
      <c r="AE52">
        <v>10425433</v>
      </c>
      <c r="AF52">
        <v>10527187</v>
      </c>
      <c r="AG52">
        <v>10626680</v>
      </c>
      <c r="AH52">
        <v>10713812</v>
      </c>
      <c r="AI52">
        <v>10783748</v>
      </c>
      <c r="AJ52">
        <v>10840934</v>
      </c>
      <c r="AK52">
        <v>10887207</v>
      </c>
      <c r="AL52">
        <v>10926703</v>
      </c>
      <c r="AM52">
        <v>10963031</v>
      </c>
      <c r="AN52">
        <v>10998129</v>
      </c>
      <c r="AO52">
        <v>11033758</v>
      </c>
      <c r="AP52">
        <v>11070094</v>
      </c>
      <c r="AQ52">
        <v>11105791</v>
      </c>
      <c r="AR52">
        <v>11139127</v>
      </c>
      <c r="AS52">
        <v>11170051</v>
      </c>
      <c r="AT52">
        <v>11199217</v>
      </c>
      <c r="AU52">
        <v>11225294</v>
      </c>
      <c r="AV52">
        <v>11246114</v>
      </c>
      <c r="AW52">
        <v>11260630</v>
      </c>
      <c r="AX52">
        <v>11269887</v>
      </c>
      <c r="AY52">
        <v>11276609</v>
      </c>
      <c r="AZ52">
        <v>11283185</v>
      </c>
      <c r="BA52">
        <v>11290417</v>
      </c>
      <c r="BB52">
        <v>11298710</v>
      </c>
      <c r="BC52">
        <v>11309290</v>
      </c>
      <c r="BD52">
        <v>11321579</v>
      </c>
      <c r="BE52">
        <v>11332026</v>
      </c>
      <c r="BF52">
        <v>11339894</v>
      </c>
      <c r="BG52">
        <v>11342012</v>
      </c>
      <c r="BH52">
        <v>11336405</v>
      </c>
      <c r="BI52">
        <v>11328244</v>
      </c>
      <c r="BJ52">
        <v>11316697</v>
      </c>
      <c r="BK52">
        <v>11300698</v>
      </c>
      <c r="BL52">
        <v>11256372</v>
      </c>
      <c r="BM52">
        <v>11212191</v>
      </c>
      <c r="BN52">
        <v>11194449</v>
      </c>
    </row>
    <row r="53" spans="1:66" x14ac:dyDescent="0.3">
      <c r="A53" t="s">
        <v>1004</v>
      </c>
      <c r="B53" t="s">
        <v>1307</v>
      </c>
      <c r="C53">
        <v>124826</v>
      </c>
      <c r="D53">
        <v>126125</v>
      </c>
      <c r="E53">
        <v>128414</v>
      </c>
      <c r="F53">
        <v>130860</v>
      </c>
      <c r="G53">
        <v>133148</v>
      </c>
      <c r="H53">
        <v>135266</v>
      </c>
      <c r="I53">
        <v>136682</v>
      </c>
      <c r="J53">
        <v>138140</v>
      </c>
      <c r="K53">
        <v>140298</v>
      </c>
      <c r="L53">
        <v>142581</v>
      </c>
      <c r="M53">
        <v>144739</v>
      </c>
      <c r="N53">
        <v>147389</v>
      </c>
      <c r="O53">
        <v>147710</v>
      </c>
      <c r="P53">
        <v>146912</v>
      </c>
      <c r="Q53">
        <v>148351</v>
      </c>
      <c r="R53">
        <v>149129</v>
      </c>
      <c r="S53">
        <v>149399</v>
      </c>
      <c r="T53">
        <v>149459</v>
      </c>
      <c r="U53">
        <v>148341</v>
      </c>
      <c r="V53">
        <v>147851</v>
      </c>
      <c r="W53">
        <v>148041</v>
      </c>
      <c r="X53">
        <v>148629</v>
      </c>
      <c r="Y53">
        <v>150101</v>
      </c>
      <c r="Z53">
        <v>151159</v>
      </c>
      <c r="AA53">
        <v>151940</v>
      </c>
      <c r="AB53">
        <v>152711</v>
      </c>
      <c r="AC53">
        <v>152662</v>
      </c>
      <c r="AD53">
        <v>151456</v>
      </c>
      <c r="AE53">
        <v>149254</v>
      </c>
      <c r="AF53">
        <v>146937</v>
      </c>
      <c r="AG53">
        <v>145400</v>
      </c>
      <c r="AH53">
        <v>144403</v>
      </c>
      <c r="AI53">
        <v>143912</v>
      </c>
      <c r="AJ53">
        <v>144299</v>
      </c>
      <c r="AK53">
        <v>144630</v>
      </c>
      <c r="AL53">
        <v>145139</v>
      </c>
      <c r="AM53">
        <v>146306</v>
      </c>
      <c r="AN53">
        <v>146956</v>
      </c>
      <c r="AO53">
        <v>144472</v>
      </c>
      <c r="AP53">
        <v>139428</v>
      </c>
      <c r="AQ53">
        <v>133860</v>
      </c>
      <c r="AR53">
        <v>129047</v>
      </c>
      <c r="AS53">
        <v>129205</v>
      </c>
      <c r="AT53">
        <v>131897</v>
      </c>
      <c r="AU53">
        <v>134192</v>
      </c>
      <c r="AV53">
        <v>137658</v>
      </c>
      <c r="AW53">
        <v>141239</v>
      </c>
      <c r="AX53">
        <v>144056</v>
      </c>
      <c r="AY53">
        <v>145880</v>
      </c>
      <c r="AZ53">
        <v>146833</v>
      </c>
      <c r="BA53">
        <v>148703</v>
      </c>
      <c r="BB53">
        <v>150831</v>
      </c>
      <c r="BC53">
        <v>152088</v>
      </c>
      <c r="BD53">
        <v>153822</v>
      </c>
      <c r="BE53">
        <v>155909</v>
      </c>
      <c r="BF53">
        <v>157980</v>
      </c>
      <c r="BG53">
        <v>159664</v>
      </c>
      <c r="BH53">
        <v>160175</v>
      </c>
      <c r="BI53">
        <v>159336</v>
      </c>
      <c r="BJ53">
        <v>157441</v>
      </c>
      <c r="BK53">
        <v>154947</v>
      </c>
      <c r="BL53">
        <v>152369</v>
      </c>
      <c r="BM53">
        <v>149996</v>
      </c>
      <c r="BN53">
        <v>147862</v>
      </c>
    </row>
    <row r="54" spans="1:66" x14ac:dyDescent="0.3">
      <c r="A54" t="s">
        <v>1078</v>
      </c>
      <c r="B54" t="s">
        <v>1308</v>
      </c>
      <c r="C54">
        <v>8473</v>
      </c>
      <c r="D54">
        <v>8626</v>
      </c>
      <c r="E54">
        <v>8799</v>
      </c>
      <c r="F54">
        <v>8985</v>
      </c>
      <c r="G54">
        <v>9172</v>
      </c>
      <c r="H54">
        <v>9366</v>
      </c>
      <c r="I54">
        <v>9566</v>
      </c>
      <c r="J54">
        <v>9771</v>
      </c>
      <c r="K54">
        <v>9981</v>
      </c>
      <c r="L54">
        <v>10181</v>
      </c>
      <c r="M54">
        <v>10533</v>
      </c>
      <c r="N54">
        <v>11117</v>
      </c>
      <c r="O54">
        <v>11778</v>
      </c>
      <c r="P54">
        <v>12443</v>
      </c>
      <c r="Q54">
        <v>13118</v>
      </c>
      <c r="R54">
        <v>13791</v>
      </c>
      <c r="S54">
        <v>14456</v>
      </c>
      <c r="T54">
        <v>15116</v>
      </c>
      <c r="U54">
        <v>15746</v>
      </c>
      <c r="V54">
        <v>16378</v>
      </c>
      <c r="W54">
        <v>17100</v>
      </c>
      <c r="X54">
        <v>17904</v>
      </c>
      <c r="Y54">
        <v>18729</v>
      </c>
      <c r="Z54">
        <v>19572</v>
      </c>
      <c r="AA54">
        <v>20433</v>
      </c>
      <c r="AB54">
        <v>21313</v>
      </c>
      <c r="AC54">
        <v>22195</v>
      </c>
      <c r="AD54">
        <v>23075</v>
      </c>
      <c r="AE54">
        <v>23956</v>
      </c>
      <c r="AF54">
        <v>24888</v>
      </c>
      <c r="AG54">
        <v>26027</v>
      </c>
      <c r="AH54">
        <v>27340</v>
      </c>
      <c r="AI54">
        <v>28677</v>
      </c>
      <c r="AJ54">
        <v>30038</v>
      </c>
      <c r="AK54">
        <v>31418</v>
      </c>
      <c r="AL54">
        <v>32802</v>
      </c>
      <c r="AM54">
        <v>34194</v>
      </c>
      <c r="AN54">
        <v>35579</v>
      </c>
      <c r="AO54">
        <v>36947</v>
      </c>
      <c r="AP54">
        <v>38295</v>
      </c>
      <c r="AQ54">
        <v>39658</v>
      </c>
      <c r="AR54">
        <v>41054</v>
      </c>
      <c r="AS54">
        <v>42456</v>
      </c>
      <c r="AT54">
        <v>43862</v>
      </c>
      <c r="AU54">
        <v>45286</v>
      </c>
      <c r="AV54">
        <v>46727</v>
      </c>
      <c r="AW54">
        <v>48177</v>
      </c>
      <c r="AX54">
        <v>49647</v>
      </c>
      <c r="AY54">
        <v>51123</v>
      </c>
      <c r="AZ54">
        <v>52602</v>
      </c>
      <c r="BA54">
        <v>54074</v>
      </c>
      <c r="BB54">
        <v>55492</v>
      </c>
      <c r="BC54">
        <v>56860</v>
      </c>
      <c r="BD54">
        <v>58212</v>
      </c>
      <c r="BE54">
        <v>59559</v>
      </c>
      <c r="BF54">
        <v>60911</v>
      </c>
      <c r="BG54">
        <v>62255</v>
      </c>
      <c r="BH54">
        <v>63581</v>
      </c>
      <c r="BI54">
        <v>64884</v>
      </c>
      <c r="BJ54">
        <v>66134</v>
      </c>
      <c r="BK54">
        <v>67311</v>
      </c>
      <c r="BL54">
        <v>68136</v>
      </c>
      <c r="BM54">
        <v>68706</v>
      </c>
      <c r="BN54">
        <v>69310</v>
      </c>
    </row>
    <row r="55" spans="1:66" x14ac:dyDescent="0.3">
      <c r="A55" t="s">
        <v>1109</v>
      </c>
      <c r="B55" t="s">
        <v>1108</v>
      </c>
      <c r="C55">
        <v>585725</v>
      </c>
      <c r="D55">
        <v>594771</v>
      </c>
      <c r="E55">
        <v>601095</v>
      </c>
      <c r="F55">
        <v>607072</v>
      </c>
      <c r="G55">
        <v>612338</v>
      </c>
      <c r="H55">
        <v>617345</v>
      </c>
      <c r="I55">
        <v>622566</v>
      </c>
      <c r="J55">
        <v>627695</v>
      </c>
      <c r="K55">
        <v>632452</v>
      </c>
      <c r="L55">
        <v>636821</v>
      </c>
      <c r="M55">
        <v>640804</v>
      </c>
      <c r="N55">
        <v>644413</v>
      </c>
      <c r="O55">
        <v>647620</v>
      </c>
      <c r="P55">
        <v>650705</v>
      </c>
      <c r="Q55">
        <v>648585</v>
      </c>
      <c r="R55">
        <v>644982</v>
      </c>
      <c r="S55">
        <v>648868</v>
      </c>
      <c r="T55">
        <v>656414</v>
      </c>
      <c r="U55">
        <v>663975</v>
      </c>
      <c r="V55">
        <v>671611</v>
      </c>
      <c r="W55">
        <v>679327</v>
      </c>
      <c r="X55">
        <v>687170</v>
      </c>
      <c r="Y55">
        <v>696227</v>
      </c>
      <c r="Z55">
        <v>707477</v>
      </c>
      <c r="AA55">
        <v>719678</v>
      </c>
      <c r="AB55">
        <v>731664</v>
      </c>
      <c r="AC55">
        <v>743446</v>
      </c>
      <c r="AD55">
        <v>755021</v>
      </c>
      <c r="AE55">
        <v>766412</v>
      </c>
      <c r="AF55">
        <v>777592</v>
      </c>
      <c r="AG55">
        <v>788500</v>
      </c>
      <c r="AH55">
        <v>799061</v>
      </c>
      <c r="AI55">
        <v>810431</v>
      </c>
      <c r="AJ55">
        <v>825986</v>
      </c>
      <c r="AK55">
        <v>844444</v>
      </c>
      <c r="AL55">
        <v>862418</v>
      </c>
      <c r="AM55">
        <v>880058</v>
      </c>
      <c r="AN55">
        <v>897471</v>
      </c>
      <c r="AO55">
        <v>914660</v>
      </c>
      <c r="AP55">
        <v>931600</v>
      </c>
      <c r="AQ55">
        <v>948237</v>
      </c>
      <c r="AR55">
        <v>964830</v>
      </c>
      <c r="AS55">
        <v>982194</v>
      </c>
      <c r="AT55">
        <v>1000350</v>
      </c>
      <c r="AU55">
        <v>1018684</v>
      </c>
      <c r="AV55">
        <v>1037062</v>
      </c>
      <c r="AW55">
        <v>1055438</v>
      </c>
      <c r="AX55">
        <v>1073873</v>
      </c>
      <c r="AY55">
        <v>1092390</v>
      </c>
      <c r="AZ55">
        <v>1110974</v>
      </c>
      <c r="BA55">
        <v>1129686</v>
      </c>
      <c r="BB55">
        <v>1145086</v>
      </c>
      <c r="BC55">
        <v>1156556</v>
      </c>
      <c r="BD55">
        <v>1166968</v>
      </c>
      <c r="BE55">
        <v>1176995</v>
      </c>
      <c r="BF55">
        <v>1187280</v>
      </c>
      <c r="BG55">
        <v>1197881</v>
      </c>
      <c r="BH55">
        <v>1208523</v>
      </c>
      <c r="BI55">
        <v>1218831</v>
      </c>
      <c r="BJ55">
        <v>1228836</v>
      </c>
      <c r="BK55">
        <v>1237537</v>
      </c>
      <c r="BL55">
        <v>1244188</v>
      </c>
      <c r="BM55">
        <v>1251488</v>
      </c>
      <c r="BN55">
        <v>1260138</v>
      </c>
    </row>
    <row r="56" spans="1:66" x14ac:dyDescent="0.3">
      <c r="A56" t="s">
        <v>1309</v>
      </c>
      <c r="B56" t="s">
        <v>1110</v>
      </c>
      <c r="C56">
        <v>9602006</v>
      </c>
      <c r="D56">
        <v>9586651</v>
      </c>
      <c r="E56">
        <v>9624660</v>
      </c>
      <c r="F56">
        <v>9670685</v>
      </c>
      <c r="G56">
        <v>9727804</v>
      </c>
      <c r="H56">
        <v>9779358</v>
      </c>
      <c r="I56">
        <v>9821040</v>
      </c>
      <c r="J56">
        <v>9852899</v>
      </c>
      <c r="K56">
        <v>9876346</v>
      </c>
      <c r="L56">
        <v>9896580</v>
      </c>
      <c r="M56">
        <v>9858071</v>
      </c>
      <c r="N56">
        <v>9826815</v>
      </c>
      <c r="O56">
        <v>9867632</v>
      </c>
      <c r="P56">
        <v>9922266</v>
      </c>
      <c r="Q56">
        <v>9988459</v>
      </c>
      <c r="R56">
        <v>10058620</v>
      </c>
      <c r="S56">
        <v>10125939</v>
      </c>
      <c r="T56">
        <v>10186755</v>
      </c>
      <c r="U56">
        <v>10242098</v>
      </c>
      <c r="V56">
        <v>10292341</v>
      </c>
      <c r="W56">
        <v>10304193</v>
      </c>
      <c r="X56">
        <v>10300591</v>
      </c>
      <c r="Y56">
        <v>10314826</v>
      </c>
      <c r="Z56">
        <v>10323856</v>
      </c>
      <c r="AA56">
        <v>10330213</v>
      </c>
      <c r="AB56">
        <v>10337118</v>
      </c>
      <c r="AC56">
        <v>10342227</v>
      </c>
      <c r="AD56">
        <v>10347318</v>
      </c>
      <c r="AE56">
        <v>10355276</v>
      </c>
      <c r="AF56">
        <v>10361068</v>
      </c>
      <c r="AG56">
        <v>10333355</v>
      </c>
      <c r="AH56">
        <v>10308578</v>
      </c>
      <c r="AI56">
        <v>10319123</v>
      </c>
      <c r="AJ56">
        <v>10329855</v>
      </c>
      <c r="AK56">
        <v>10333587</v>
      </c>
      <c r="AL56">
        <v>10327253</v>
      </c>
      <c r="AM56">
        <v>10315241</v>
      </c>
      <c r="AN56">
        <v>10304131</v>
      </c>
      <c r="AO56">
        <v>10294373</v>
      </c>
      <c r="AP56">
        <v>10283860</v>
      </c>
      <c r="AQ56">
        <v>10255063</v>
      </c>
      <c r="AR56">
        <v>10216605</v>
      </c>
      <c r="AS56">
        <v>10196916</v>
      </c>
      <c r="AT56">
        <v>10193998</v>
      </c>
      <c r="AU56">
        <v>10197101</v>
      </c>
      <c r="AV56">
        <v>10211216</v>
      </c>
      <c r="AW56">
        <v>10238905</v>
      </c>
      <c r="AX56">
        <v>10298828</v>
      </c>
      <c r="AY56">
        <v>10384603</v>
      </c>
      <c r="AZ56">
        <v>10443936</v>
      </c>
      <c r="BA56">
        <v>10474410</v>
      </c>
      <c r="BB56">
        <v>10496088</v>
      </c>
      <c r="BC56">
        <v>10510785</v>
      </c>
      <c r="BD56">
        <v>10514272</v>
      </c>
      <c r="BE56">
        <v>10525347</v>
      </c>
      <c r="BF56">
        <v>10546059</v>
      </c>
      <c r="BG56">
        <v>10566332</v>
      </c>
      <c r="BH56">
        <v>10594438</v>
      </c>
      <c r="BI56">
        <v>10629928</v>
      </c>
      <c r="BJ56">
        <v>10671870</v>
      </c>
      <c r="BK56">
        <v>10697858</v>
      </c>
      <c r="BL56">
        <v>10505772</v>
      </c>
      <c r="BM56">
        <v>10672118</v>
      </c>
      <c r="BN56">
        <v>10873689</v>
      </c>
    </row>
    <row r="57" spans="1:66" x14ac:dyDescent="0.3">
      <c r="A57" t="s">
        <v>1134</v>
      </c>
      <c r="B57" t="s">
        <v>1310</v>
      </c>
      <c r="C57">
        <v>72814900</v>
      </c>
      <c r="D57">
        <v>73377632</v>
      </c>
      <c r="E57">
        <v>74025784</v>
      </c>
      <c r="F57">
        <v>74714353</v>
      </c>
      <c r="G57">
        <v>75318337</v>
      </c>
      <c r="H57">
        <v>75963695</v>
      </c>
      <c r="I57">
        <v>76600311</v>
      </c>
      <c r="J57">
        <v>76951336</v>
      </c>
      <c r="K57">
        <v>77294314</v>
      </c>
      <c r="L57">
        <v>77909682</v>
      </c>
      <c r="M57">
        <v>78169289</v>
      </c>
      <c r="N57">
        <v>78312842</v>
      </c>
      <c r="O57">
        <v>78688452</v>
      </c>
      <c r="P57">
        <v>78936666</v>
      </c>
      <c r="Q57">
        <v>78967433</v>
      </c>
      <c r="R57">
        <v>78673554</v>
      </c>
      <c r="S57">
        <v>78336950</v>
      </c>
      <c r="T57">
        <v>78159814</v>
      </c>
      <c r="U57">
        <v>78091820</v>
      </c>
      <c r="V57">
        <v>78126350</v>
      </c>
      <c r="W57">
        <v>78288576</v>
      </c>
      <c r="X57">
        <v>78407907</v>
      </c>
      <c r="Y57">
        <v>78333366</v>
      </c>
      <c r="Z57">
        <v>78128282</v>
      </c>
      <c r="AA57">
        <v>77858685</v>
      </c>
      <c r="AB57">
        <v>77684873</v>
      </c>
      <c r="AC57">
        <v>77720436</v>
      </c>
      <c r="AD57">
        <v>77839920</v>
      </c>
      <c r="AE57">
        <v>78144619</v>
      </c>
      <c r="AF57">
        <v>78751283</v>
      </c>
      <c r="AG57">
        <v>79433029</v>
      </c>
      <c r="AH57">
        <v>80013896</v>
      </c>
      <c r="AI57">
        <v>80624598</v>
      </c>
      <c r="AJ57">
        <v>81156363</v>
      </c>
      <c r="AK57">
        <v>81438348</v>
      </c>
      <c r="AL57">
        <v>81678051</v>
      </c>
      <c r="AM57">
        <v>81914831</v>
      </c>
      <c r="AN57">
        <v>82034771</v>
      </c>
      <c r="AO57">
        <v>82047195</v>
      </c>
      <c r="AP57">
        <v>82100243</v>
      </c>
      <c r="AQ57">
        <v>82211508</v>
      </c>
      <c r="AR57">
        <v>82349925</v>
      </c>
      <c r="AS57">
        <v>82488495</v>
      </c>
      <c r="AT57">
        <v>82534176</v>
      </c>
      <c r="AU57">
        <v>82516260</v>
      </c>
      <c r="AV57">
        <v>82469422</v>
      </c>
      <c r="AW57">
        <v>82376451</v>
      </c>
      <c r="AX57">
        <v>82266372</v>
      </c>
      <c r="AY57">
        <v>82110097</v>
      </c>
      <c r="AZ57">
        <v>81902307</v>
      </c>
      <c r="BA57">
        <v>81776930</v>
      </c>
      <c r="BB57">
        <v>80274983</v>
      </c>
      <c r="BC57">
        <v>80425823</v>
      </c>
      <c r="BD57">
        <v>80645605</v>
      </c>
      <c r="BE57">
        <v>80982500</v>
      </c>
      <c r="BF57">
        <v>81686611</v>
      </c>
      <c r="BG57">
        <v>82348669</v>
      </c>
      <c r="BH57">
        <v>82657002</v>
      </c>
      <c r="BI57">
        <v>82905782</v>
      </c>
      <c r="BJ57">
        <v>83092962</v>
      </c>
      <c r="BK57">
        <v>83160871</v>
      </c>
      <c r="BL57">
        <v>83196078</v>
      </c>
      <c r="BM57">
        <v>83797985</v>
      </c>
      <c r="BN57">
        <v>84482267</v>
      </c>
    </row>
    <row r="58" spans="1:66" x14ac:dyDescent="0.3">
      <c r="A58" t="s">
        <v>1112</v>
      </c>
      <c r="B58" t="s">
        <v>1111</v>
      </c>
      <c r="C58">
        <v>85940</v>
      </c>
      <c r="D58">
        <v>89270</v>
      </c>
      <c r="E58">
        <v>93122</v>
      </c>
      <c r="F58">
        <v>97670</v>
      </c>
      <c r="G58">
        <v>102945</v>
      </c>
      <c r="H58">
        <v>108772</v>
      </c>
      <c r="I58">
        <v>114874</v>
      </c>
      <c r="J58">
        <v>121168</v>
      </c>
      <c r="K58">
        <v>127668</v>
      </c>
      <c r="L58">
        <v>135390</v>
      </c>
      <c r="M58">
        <v>144379</v>
      </c>
      <c r="N58">
        <v>154225</v>
      </c>
      <c r="O58">
        <v>165234</v>
      </c>
      <c r="P58">
        <v>177327</v>
      </c>
      <c r="Q58">
        <v>191389</v>
      </c>
      <c r="R58">
        <v>208582</v>
      </c>
      <c r="S58">
        <v>229304</v>
      </c>
      <c r="T58">
        <v>253083</v>
      </c>
      <c r="U58">
        <v>278425</v>
      </c>
      <c r="V58">
        <v>302856</v>
      </c>
      <c r="W58">
        <v>324121</v>
      </c>
      <c r="X58">
        <v>341316</v>
      </c>
      <c r="Y58">
        <v>355110</v>
      </c>
      <c r="Z58">
        <v>367726</v>
      </c>
      <c r="AA58">
        <v>382156</v>
      </c>
      <c r="AB58">
        <v>400709</v>
      </c>
      <c r="AC58">
        <v>424286</v>
      </c>
      <c r="AD58">
        <v>452272</v>
      </c>
      <c r="AE58">
        <v>482337</v>
      </c>
      <c r="AF58">
        <v>521104</v>
      </c>
      <c r="AG58">
        <v>577173</v>
      </c>
      <c r="AH58">
        <v>628521</v>
      </c>
      <c r="AI58">
        <v>623197</v>
      </c>
      <c r="AJ58">
        <v>611231</v>
      </c>
      <c r="AK58">
        <v>623477</v>
      </c>
      <c r="AL58">
        <v>629619</v>
      </c>
      <c r="AM58">
        <v>644649</v>
      </c>
      <c r="AN58">
        <v>667786</v>
      </c>
      <c r="AO58">
        <v>694920</v>
      </c>
      <c r="AP58">
        <v>719371</v>
      </c>
      <c r="AQ58">
        <v>742033</v>
      </c>
      <c r="AR58">
        <v>765490</v>
      </c>
      <c r="AS58">
        <v>789129</v>
      </c>
      <c r="AT58">
        <v>806411</v>
      </c>
      <c r="AU58">
        <v>818373</v>
      </c>
      <c r="AV58">
        <v>830861</v>
      </c>
      <c r="AW58">
        <v>846947</v>
      </c>
      <c r="AX58">
        <v>865196</v>
      </c>
      <c r="AY58">
        <v>882886</v>
      </c>
      <c r="AZ58">
        <v>901103</v>
      </c>
      <c r="BA58">
        <v>919199</v>
      </c>
      <c r="BB58">
        <v>936811</v>
      </c>
      <c r="BC58">
        <v>954297</v>
      </c>
      <c r="BD58">
        <v>971753</v>
      </c>
      <c r="BE58">
        <v>989087</v>
      </c>
      <c r="BF58">
        <v>1006259</v>
      </c>
      <c r="BG58">
        <v>1023261</v>
      </c>
      <c r="BH58">
        <v>1040233</v>
      </c>
      <c r="BI58">
        <v>1057198</v>
      </c>
      <c r="BJ58">
        <v>1073994</v>
      </c>
      <c r="BK58">
        <v>1090156</v>
      </c>
      <c r="BL58">
        <v>1105557</v>
      </c>
      <c r="BM58">
        <v>1120849</v>
      </c>
      <c r="BN58">
        <v>1136455</v>
      </c>
    </row>
    <row r="59" spans="1:66" x14ac:dyDescent="0.3">
      <c r="A59" t="s">
        <v>1114</v>
      </c>
      <c r="B59" t="s">
        <v>1113</v>
      </c>
      <c r="C59">
        <v>59379</v>
      </c>
      <c r="D59">
        <v>60395</v>
      </c>
      <c r="E59">
        <v>61224</v>
      </c>
      <c r="F59">
        <v>62031</v>
      </c>
      <c r="G59">
        <v>62843</v>
      </c>
      <c r="H59">
        <v>63744</v>
      </c>
      <c r="I59">
        <v>64728</v>
      </c>
      <c r="J59">
        <v>65760</v>
      </c>
      <c r="K59">
        <v>66865</v>
      </c>
      <c r="L59">
        <v>68007</v>
      </c>
      <c r="M59">
        <v>68895</v>
      </c>
      <c r="N59">
        <v>69430</v>
      </c>
      <c r="O59">
        <v>69870</v>
      </c>
      <c r="P59">
        <v>70334</v>
      </c>
      <c r="Q59">
        <v>70822</v>
      </c>
      <c r="R59">
        <v>71300</v>
      </c>
      <c r="S59">
        <v>71748</v>
      </c>
      <c r="T59">
        <v>72142</v>
      </c>
      <c r="U59">
        <v>72478</v>
      </c>
      <c r="V59">
        <v>72768</v>
      </c>
      <c r="W59">
        <v>72978</v>
      </c>
      <c r="X59">
        <v>72932</v>
      </c>
      <c r="Y59">
        <v>72626</v>
      </c>
      <c r="Z59">
        <v>72269</v>
      </c>
      <c r="AA59">
        <v>71936</v>
      </c>
      <c r="AB59">
        <v>71596</v>
      </c>
      <c r="AC59">
        <v>71215</v>
      </c>
      <c r="AD59">
        <v>70808</v>
      </c>
      <c r="AE59">
        <v>70397</v>
      </c>
      <c r="AF59">
        <v>69975</v>
      </c>
      <c r="AG59">
        <v>69481</v>
      </c>
      <c r="AH59">
        <v>69141</v>
      </c>
      <c r="AI59">
        <v>69112</v>
      </c>
      <c r="AJ59">
        <v>69169</v>
      </c>
      <c r="AK59">
        <v>69198</v>
      </c>
      <c r="AL59">
        <v>69201</v>
      </c>
      <c r="AM59">
        <v>69166</v>
      </c>
      <c r="AN59">
        <v>69081</v>
      </c>
      <c r="AO59">
        <v>68938</v>
      </c>
      <c r="AP59">
        <v>68698</v>
      </c>
      <c r="AQ59">
        <v>68346</v>
      </c>
      <c r="AR59">
        <v>68153</v>
      </c>
      <c r="AS59">
        <v>68262</v>
      </c>
      <c r="AT59">
        <v>68442</v>
      </c>
      <c r="AU59">
        <v>68574</v>
      </c>
      <c r="AV59">
        <v>68674</v>
      </c>
      <c r="AW59">
        <v>68742</v>
      </c>
      <c r="AX59">
        <v>68775</v>
      </c>
      <c r="AY59">
        <v>68782</v>
      </c>
      <c r="AZ59">
        <v>68787</v>
      </c>
      <c r="BA59">
        <v>68755</v>
      </c>
      <c r="BB59">
        <v>68742</v>
      </c>
      <c r="BC59">
        <v>68888</v>
      </c>
      <c r="BD59">
        <v>68819</v>
      </c>
      <c r="BE59">
        <v>69371</v>
      </c>
      <c r="BF59">
        <v>70007</v>
      </c>
      <c r="BG59">
        <v>70075</v>
      </c>
      <c r="BH59">
        <v>70403</v>
      </c>
      <c r="BI59">
        <v>70823</v>
      </c>
      <c r="BJ59">
        <v>71428</v>
      </c>
      <c r="BK59">
        <v>71995</v>
      </c>
      <c r="BL59">
        <v>72412</v>
      </c>
      <c r="BM59">
        <v>72737</v>
      </c>
      <c r="BN59">
        <v>73040</v>
      </c>
    </row>
    <row r="60" spans="1:66" x14ac:dyDescent="0.3">
      <c r="A60" t="s">
        <v>31</v>
      </c>
      <c r="B60" t="s">
        <v>1311</v>
      </c>
      <c r="C60">
        <v>4579603</v>
      </c>
      <c r="D60">
        <v>4611687</v>
      </c>
      <c r="E60">
        <v>4647727</v>
      </c>
      <c r="F60">
        <v>4684483</v>
      </c>
      <c r="G60">
        <v>4722072</v>
      </c>
      <c r="H60">
        <v>4759012</v>
      </c>
      <c r="I60">
        <v>4797381</v>
      </c>
      <c r="J60">
        <v>4835354</v>
      </c>
      <c r="K60">
        <v>4864883</v>
      </c>
      <c r="L60">
        <v>4891860</v>
      </c>
      <c r="M60">
        <v>4928757</v>
      </c>
      <c r="N60">
        <v>4963126</v>
      </c>
      <c r="O60">
        <v>4991596</v>
      </c>
      <c r="P60">
        <v>5021861</v>
      </c>
      <c r="Q60">
        <v>5045297</v>
      </c>
      <c r="R60">
        <v>5059862</v>
      </c>
      <c r="S60">
        <v>5072596</v>
      </c>
      <c r="T60">
        <v>5088419</v>
      </c>
      <c r="U60">
        <v>5104248</v>
      </c>
      <c r="V60">
        <v>5116801</v>
      </c>
      <c r="W60">
        <v>5123027</v>
      </c>
      <c r="X60">
        <v>5121572</v>
      </c>
      <c r="Y60">
        <v>5117810</v>
      </c>
      <c r="Z60">
        <v>5114297</v>
      </c>
      <c r="AA60">
        <v>5111619</v>
      </c>
      <c r="AB60">
        <v>5113691</v>
      </c>
      <c r="AC60">
        <v>5120534</v>
      </c>
      <c r="AD60">
        <v>5127024</v>
      </c>
      <c r="AE60">
        <v>5129516</v>
      </c>
      <c r="AF60">
        <v>5132594</v>
      </c>
      <c r="AG60">
        <v>5140939</v>
      </c>
      <c r="AH60">
        <v>5154298</v>
      </c>
      <c r="AI60">
        <v>5171370</v>
      </c>
      <c r="AJ60">
        <v>5188628</v>
      </c>
      <c r="AK60">
        <v>5206180</v>
      </c>
      <c r="AL60">
        <v>5233373</v>
      </c>
      <c r="AM60">
        <v>5263074</v>
      </c>
      <c r="AN60">
        <v>5284991</v>
      </c>
      <c r="AO60">
        <v>5304219</v>
      </c>
      <c r="AP60">
        <v>5321799</v>
      </c>
      <c r="AQ60">
        <v>5339616</v>
      </c>
      <c r="AR60">
        <v>5358783</v>
      </c>
      <c r="AS60">
        <v>5375931</v>
      </c>
      <c r="AT60">
        <v>5390574</v>
      </c>
      <c r="AU60">
        <v>5404523</v>
      </c>
      <c r="AV60">
        <v>5419432</v>
      </c>
      <c r="AW60">
        <v>5437272</v>
      </c>
      <c r="AX60">
        <v>5461438</v>
      </c>
      <c r="AY60">
        <v>5493621</v>
      </c>
      <c r="AZ60">
        <v>5523095</v>
      </c>
      <c r="BA60">
        <v>5547683</v>
      </c>
      <c r="BB60">
        <v>5570572</v>
      </c>
      <c r="BC60">
        <v>5591572</v>
      </c>
      <c r="BD60">
        <v>5614932</v>
      </c>
      <c r="BE60">
        <v>5643475</v>
      </c>
      <c r="BF60">
        <v>5683483</v>
      </c>
      <c r="BG60">
        <v>5728010</v>
      </c>
      <c r="BH60">
        <v>5764980</v>
      </c>
      <c r="BI60">
        <v>5793636</v>
      </c>
      <c r="BJ60">
        <v>5814422</v>
      </c>
      <c r="BK60">
        <v>5831404</v>
      </c>
      <c r="BL60">
        <v>5856733</v>
      </c>
      <c r="BM60">
        <v>5903037</v>
      </c>
      <c r="BN60">
        <v>5946952</v>
      </c>
    </row>
    <row r="61" spans="1:66" x14ac:dyDescent="0.3">
      <c r="A61" t="s">
        <v>1116</v>
      </c>
      <c r="B61" t="s">
        <v>1115</v>
      </c>
      <c r="C61">
        <v>3298021</v>
      </c>
      <c r="D61">
        <v>3408415</v>
      </c>
      <c r="E61">
        <v>3521164</v>
      </c>
      <c r="F61">
        <v>3635798</v>
      </c>
      <c r="G61">
        <v>3752313</v>
      </c>
      <c r="H61">
        <v>3868712</v>
      </c>
      <c r="I61">
        <v>3987090</v>
      </c>
      <c r="J61">
        <v>4108916</v>
      </c>
      <c r="K61">
        <v>4230877</v>
      </c>
      <c r="L61">
        <v>4352954</v>
      </c>
      <c r="M61">
        <v>4475871</v>
      </c>
      <c r="N61">
        <v>4599841</v>
      </c>
      <c r="O61">
        <v>4724801</v>
      </c>
      <c r="P61">
        <v>4851183</v>
      </c>
      <c r="Q61">
        <v>4978582</v>
      </c>
      <c r="R61">
        <v>5106453</v>
      </c>
      <c r="S61">
        <v>5235318</v>
      </c>
      <c r="T61">
        <v>5365074</v>
      </c>
      <c r="U61">
        <v>5495443</v>
      </c>
      <c r="V61">
        <v>5625864</v>
      </c>
      <c r="W61">
        <v>5755800</v>
      </c>
      <c r="X61">
        <v>5885244</v>
      </c>
      <c r="Y61">
        <v>6014979</v>
      </c>
      <c r="Z61">
        <v>6147213</v>
      </c>
      <c r="AA61">
        <v>6282104</v>
      </c>
      <c r="AB61">
        <v>6417798</v>
      </c>
      <c r="AC61">
        <v>6554325</v>
      </c>
      <c r="AD61">
        <v>6692720</v>
      </c>
      <c r="AE61">
        <v>6834207</v>
      </c>
      <c r="AF61">
        <v>6980033</v>
      </c>
      <c r="AG61">
        <v>7129004</v>
      </c>
      <c r="AH61">
        <v>7278402</v>
      </c>
      <c r="AI61">
        <v>7427340</v>
      </c>
      <c r="AJ61">
        <v>7576074</v>
      </c>
      <c r="AK61">
        <v>7723934</v>
      </c>
      <c r="AL61">
        <v>7869753</v>
      </c>
      <c r="AM61">
        <v>8012314</v>
      </c>
      <c r="AN61">
        <v>8150076</v>
      </c>
      <c r="AO61">
        <v>8282126</v>
      </c>
      <c r="AP61">
        <v>8411374</v>
      </c>
      <c r="AQ61">
        <v>8540791</v>
      </c>
      <c r="AR61">
        <v>8669040</v>
      </c>
      <c r="AS61">
        <v>8795101</v>
      </c>
      <c r="AT61">
        <v>8919852</v>
      </c>
      <c r="AU61">
        <v>9043127</v>
      </c>
      <c r="AV61">
        <v>9164768</v>
      </c>
      <c r="AW61">
        <v>9284168</v>
      </c>
      <c r="AX61">
        <v>9402206</v>
      </c>
      <c r="AY61">
        <v>9522948</v>
      </c>
      <c r="AZ61">
        <v>9648061</v>
      </c>
      <c r="BA61">
        <v>9775755</v>
      </c>
      <c r="BB61">
        <v>9903737</v>
      </c>
      <c r="BC61">
        <v>10030882</v>
      </c>
      <c r="BD61">
        <v>10157051</v>
      </c>
      <c r="BE61">
        <v>10282115</v>
      </c>
      <c r="BF61">
        <v>10405832</v>
      </c>
      <c r="BG61">
        <v>10527592</v>
      </c>
      <c r="BH61">
        <v>10647244</v>
      </c>
      <c r="BI61">
        <v>10765531</v>
      </c>
      <c r="BJ61">
        <v>10881882</v>
      </c>
      <c r="BK61">
        <v>10999664</v>
      </c>
      <c r="BL61">
        <v>11117873</v>
      </c>
      <c r="BM61">
        <v>11228821</v>
      </c>
      <c r="BN61">
        <v>11332972</v>
      </c>
    </row>
    <row r="62" spans="1:66" x14ac:dyDescent="0.3">
      <c r="A62" t="s">
        <v>1009</v>
      </c>
      <c r="B62" t="s">
        <v>1312</v>
      </c>
      <c r="C62">
        <v>11394307</v>
      </c>
      <c r="D62">
        <v>11598608</v>
      </c>
      <c r="E62">
        <v>11778260</v>
      </c>
      <c r="F62">
        <v>11969451</v>
      </c>
      <c r="G62">
        <v>12179099</v>
      </c>
      <c r="H62">
        <v>12381256</v>
      </c>
      <c r="I62">
        <v>12613389</v>
      </c>
      <c r="J62">
        <v>12897115</v>
      </c>
      <c r="K62">
        <v>13190975</v>
      </c>
      <c r="L62">
        <v>13491016</v>
      </c>
      <c r="M62">
        <v>13795915</v>
      </c>
      <c r="N62">
        <v>14110271</v>
      </c>
      <c r="O62">
        <v>14439748</v>
      </c>
      <c r="P62">
        <v>14786469</v>
      </c>
      <c r="Q62">
        <v>15153602</v>
      </c>
      <c r="R62">
        <v>15724692</v>
      </c>
      <c r="S62">
        <v>16500516</v>
      </c>
      <c r="T62">
        <v>17134192</v>
      </c>
      <c r="U62">
        <v>17632645</v>
      </c>
      <c r="V62">
        <v>18166981</v>
      </c>
      <c r="W62">
        <v>18739378</v>
      </c>
      <c r="X62">
        <v>19351357</v>
      </c>
      <c r="Y62">
        <v>20000096</v>
      </c>
      <c r="Z62">
        <v>20682111</v>
      </c>
      <c r="AA62">
        <v>21393530</v>
      </c>
      <c r="AB62">
        <v>22132905</v>
      </c>
      <c r="AC62">
        <v>22882553</v>
      </c>
      <c r="AD62">
        <v>23586101</v>
      </c>
      <c r="AE62">
        <v>24243018</v>
      </c>
      <c r="AF62">
        <v>24889507</v>
      </c>
      <c r="AG62">
        <v>25518074</v>
      </c>
      <c r="AH62">
        <v>26133905</v>
      </c>
      <c r="AI62">
        <v>26748303</v>
      </c>
      <c r="AJ62">
        <v>27354327</v>
      </c>
      <c r="AK62">
        <v>27937006</v>
      </c>
      <c r="AL62">
        <v>28478022</v>
      </c>
      <c r="AM62">
        <v>28984634</v>
      </c>
      <c r="AN62">
        <v>29476031</v>
      </c>
      <c r="AO62">
        <v>29924668</v>
      </c>
      <c r="AP62">
        <v>30346083</v>
      </c>
      <c r="AQ62">
        <v>30774621</v>
      </c>
      <c r="AR62">
        <v>31200985</v>
      </c>
      <c r="AS62">
        <v>31624696</v>
      </c>
      <c r="AT62">
        <v>32055883</v>
      </c>
      <c r="AU62">
        <v>32510186</v>
      </c>
      <c r="AV62">
        <v>32956690</v>
      </c>
      <c r="AW62">
        <v>33435080</v>
      </c>
      <c r="AX62">
        <v>33983827</v>
      </c>
      <c r="AY62">
        <v>34569592</v>
      </c>
      <c r="AZ62">
        <v>35196037</v>
      </c>
      <c r="BA62">
        <v>35856344</v>
      </c>
      <c r="BB62">
        <v>36543541</v>
      </c>
      <c r="BC62">
        <v>37260563</v>
      </c>
      <c r="BD62">
        <v>38000626</v>
      </c>
      <c r="BE62">
        <v>38760168</v>
      </c>
      <c r="BF62">
        <v>39543154</v>
      </c>
      <c r="BG62">
        <v>40339329</v>
      </c>
      <c r="BH62">
        <v>41136546</v>
      </c>
      <c r="BI62">
        <v>41927007</v>
      </c>
      <c r="BJ62">
        <v>42705368</v>
      </c>
      <c r="BK62">
        <v>43451666</v>
      </c>
      <c r="BL62">
        <v>44177969</v>
      </c>
      <c r="BM62">
        <v>44903225</v>
      </c>
      <c r="BN62">
        <v>45606480</v>
      </c>
    </row>
    <row r="63" spans="1:66" x14ac:dyDescent="0.3">
      <c r="A63" t="s">
        <v>1313</v>
      </c>
      <c r="B63" t="s">
        <v>1314</v>
      </c>
      <c r="C63">
        <v>896452801</v>
      </c>
      <c r="D63">
        <v>895982616</v>
      </c>
      <c r="E63">
        <v>907849084</v>
      </c>
      <c r="F63">
        <v>931103981</v>
      </c>
      <c r="G63">
        <v>953977437</v>
      </c>
      <c r="H63">
        <v>977483065</v>
      </c>
      <c r="I63">
        <v>1004323080</v>
      </c>
      <c r="J63">
        <v>1030442864</v>
      </c>
      <c r="K63">
        <v>1057583766</v>
      </c>
      <c r="L63">
        <v>1086447495</v>
      </c>
      <c r="M63">
        <v>1116170774</v>
      </c>
      <c r="N63">
        <v>1146513513</v>
      </c>
      <c r="O63">
        <v>1175144020</v>
      </c>
      <c r="P63">
        <v>1202800072</v>
      </c>
      <c r="Q63">
        <v>1228896581</v>
      </c>
      <c r="R63">
        <v>1252472762</v>
      </c>
      <c r="S63">
        <v>1274251072</v>
      </c>
      <c r="T63">
        <v>1294846389</v>
      </c>
      <c r="U63">
        <v>1315749587</v>
      </c>
      <c r="V63">
        <v>1336881495</v>
      </c>
      <c r="W63">
        <v>1357568923</v>
      </c>
      <c r="X63">
        <v>1378929135</v>
      </c>
      <c r="Y63">
        <v>1402542074</v>
      </c>
      <c r="Z63">
        <v>1426243031</v>
      </c>
      <c r="AA63">
        <v>1448866962</v>
      </c>
      <c r="AB63">
        <v>1472135650</v>
      </c>
      <c r="AC63">
        <v>1496876017</v>
      </c>
      <c r="AD63">
        <v>1523084914</v>
      </c>
      <c r="AE63">
        <v>1549637871</v>
      </c>
      <c r="AF63">
        <v>1575635488</v>
      </c>
      <c r="AG63">
        <v>1601222039</v>
      </c>
      <c r="AH63">
        <v>1625888128</v>
      </c>
      <c r="AI63">
        <v>1649237070</v>
      </c>
      <c r="AJ63">
        <v>1671930685</v>
      </c>
      <c r="AK63">
        <v>1694403785</v>
      </c>
      <c r="AL63">
        <v>1716310165</v>
      </c>
      <c r="AM63">
        <v>1737842789</v>
      </c>
      <c r="AN63">
        <v>1759202933</v>
      </c>
      <c r="AO63">
        <v>1779768710</v>
      </c>
      <c r="AP63">
        <v>1798994292</v>
      </c>
      <c r="AQ63">
        <v>1816986829</v>
      </c>
      <c r="AR63">
        <v>1834082049</v>
      </c>
      <c r="AS63">
        <v>1850453077</v>
      </c>
      <c r="AT63">
        <v>1866220978</v>
      </c>
      <c r="AU63">
        <v>1881541652</v>
      </c>
      <c r="AV63">
        <v>1896768430</v>
      </c>
      <c r="AW63">
        <v>1911702057</v>
      </c>
      <c r="AX63">
        <v>1926287101</v>
      </c>
      <c r="AY63">
        <v>1940749039</v>
      </c>
      <c r="AZ63">
        <v>1955023279</v>
      </c>
      <c r="BA63">
        <v>1969168373</v>
      </c>
      <c r="BB63">
        <v>1984249541</v>
      </c>
      <c r="BC63">
        <v>2001246209</v>
      </c>
      <c r="BD63">
        <v>2018050656</v>
      </c>
      <c r="BE63">
        <v>2034247084</v>
      </c>
      <c r="BF63">
        <v>2049740052</v>
      </c>
      <c r="BG63">
        <v>2065155186</v>
      </c>
      <c r="BH63">
        <v>2080901482</v>
      </c>
      <c r="BI63">
        <v>2094506990</v>
      </c>
      <c r="BJ63">
        <v>2106374009</v>
      </c>
      <c r="BK63">
        <v>2116360715</v>
      </c>
      <c r="BL63">
        <v>2123610397</v>
      </c>
      <c r="BM63">
        <v>2129094071</v>
      </c>
      <c r="BN63">
        <v>2133652241</v>
      </c>
    </row>
    <row r="64" spans="1:66" x14ac:dyDescent="0.3">
      <c r="A64" t="s">
        <v>1315</v>
      </c>
      <c r="B64" t="s">
        <v>1316</v>
      </c>
      <c r="C64">
        <v>979461502</v>
      </c>
      <c r="D64">
        <v>1004319366</v>
      </c>
      <c r="E64">
        <v>1029962253</v>
      </c>
      <c r="F64">
        <v>1056327420</v>
      </c>
      <c r="G64">
        <v>1083430197</v>
      </c>
      <c r="H64">
        <v>1110603410</v>
      </c>
      <c r="I64">
        <v>1137875812</v>
      </c>
      <c r="J64">
        <v>1166092667</v>
      </c>
      <c r="K64">
        <v>1195278339</v>
      </c>
      <c r="L64">
        <v>1225287413</v>
      </c>
      <c r="M64">
        <v>1255661025</v>
      </c>
      <c r="N64">
        <v>1285672098</v>
      </c>
      <c r="O64">
        <v>1316555228</v>
      </c>
      <c r="P64">
        <v>1349249410</v>
      </c>
      <c r="Q64">
        <v>1382608576</v>
      </c>
      <c r="R64">
        <v>1416414404</v>
      </c>
      <c r="S64">
        <v>1450710647</v>
      </c>
      <c r="T64">
        <v>1485833546</v>
      </c>
      <c r="U64">
        <v>1521983049</v>
      </c>
      <c r="V64">
        <v>1559348459</v>
      </c>
      <c r="W64">
        <v>1598348344</v>
      </c>
      <c r="X64">
        <v>1639825731</v>
      </c>
      <c r="Y64">
        <v>1682434337</v>
      </c>
      <c r="Z64">
        <v>1724928292</v>
      </c>
      <c r="AA64">
        <v>1767765290</v>
      </c>
      <c r="AB64">
        <v>1811272313</v>
      </c>
      <c r="AC64">
        <v>1855624329</v>
      </c>
      <c r="AD64">
        <v>1900589995</v>
      </c>
      <c r="AE64">
        <v>1946149314</v>
      </c>
      <c r="AF64">
        <v>1992092223</v>
      </c>
      <c r="AG64">
        <v>2041043553</v>
      </c>
      <c r="AH64">
        <v>2088580891</v>
      </c>
      <c r="AI64">
        <v>2134566607</v>
      </c>
      <c r="AJ64">
        <v>2179380224</v>
      </c>
      <c r="AK64">
        <v>2223076958</v>
      </c>
      <c r="AL64">
        <v>2267616622</v>
      </c>
      <c r="AM64">
        <v>2314334474</v>
      </c>
      <c r="AN64">
        <v>2361095210</v>
      </c>
      <c r="AO64">
        <v>2407186134</v>
      </c>
      <c r="AP64">
        <v>2452952807</v>
      </c>
      <c r="AQ64">
        <v>2499206970</v>
      </c>
      <c r="AR64">
        <v>2545843129</v>
      </c>
      <c r="AS64">
        <v>2591204247</v>
      </c>
      <c r="AT64">
        <v>2635731526</v>
      </c>
      <c r="AU64">
        <v>2680567394</v>
      </c>
      <c r="AV64">
        <v>2725013738</v>
      </c>
      <c r="AW64">
        <v>2769421149</v>
      </c>
      <c r="AX64">
        <v>2813790790</v>
      </c>
      <c r="AY64">
        <v>2857587007</v>
      </c>
      <c r="AZ64">
        <v>2901329923</v>
      </c>
      <c r="BA64">
        <v>2946285613</v>
      </c>
      <c r="BB64">
        <v>2991403487</v>
      </c>
      <c r="BC64">
        <v>3035159632</v>
      </c>
      <c r="BD64">
        <v>3078407213</v>
      </c>
      <c r="BE64">
        <v>3121656203</v>
      </c>
      <c r="BF64">
        <v>3165214886</v>
      </c>
      <c r="BG64">
        <v>3208369547</v>
      </c>
      <c r="BH64">
        <v>3250752755</v>
      </c>
      <c r="BI64">
        <v>3292896609</v>
      </c>
      <c r="BJ64">
        <v>3334561751</v>
      </c>
      <c r="BK64">
        <v>3374383528</v>
      </c>
      <c r="BL64">
        <v>3411268373</v>
      </c>
      <c r="BM64">
        <v>3447398652</v>
      </c>
      <c r="BN64">
        <v>3486290439</v>
      </c>
    </row>
    <row r="65" spans="1:66" x14ac:dyDescent="0.3">
      <c r="A65" t="s">
        <v>1317</v>
      </c>
      <c r="B65" t="s">
        <v>1318</v>
      </c>
      <c r="C65">
        <v>1043333636</v>
      </c>
      <c r="D65">
        <v>1045203037</v>
      </c>
      <c r="E65">
        <v>1059600211</v>
      </c>
      <c r="F65">
        <v>1085398906</v>
      </c>
      <c r="G65">
        <v>1110819272</v>
      </c>
      <c r="H65">
        <v>1136927045</v>
      </c>
      <c r="I65">
        <v>1166227679</v>
      </c>
      <c r="J65">
        <v>1194567141</v>
      </c>
      <c r="K65">
        <v>1224255729</v>
      </c>
      <c r="L65">
        <v>1255933616</v>
      </c>
      <c r="M65">
        <v>1288490485</v>
      </c>
      <c r="N65">
        <v>1322732627</v>
      </c>
      <c r="O65">
        <v>1354211283</v>
      </c>
      <c r="P65">
        <v>1384704173</v>
      </c>
      <c r="Q65">
        <v>1413718269</v>
      </c>
      <c r="R65">
        <v>1439944265</v>
      </c>
      <c r="S65">
        <v>1464087148</v>
      </c>
      <c r="T65">
        <v>1486953865</v>
      </c>
      <c r="U65">
        <v>1510060320</v>
      </c>
      <c r="V65">
        <v>1533514709</v>
      </c>
      <c r="W65">
        <v>1556403010</v>
      </c>
      <c r="X65">
        <v>1580048609</v>
      </c>
      <c r="Y65">
        <v>1605925794</v>
      </c>
      <c r="Z65">
        <v>1631735726</v>
      </c>
      <c r="AA65">
        <v>1656258164</v>
      </c>
      <c r="AB65">
        <v>1681267266</v>
      </c>
      <c r="AC65">
        <v>1707611028</v>
      </c>
      <c r="AD65">
        <v>1735427884</v>
      </c>
      <c r="AE65">
        <v>1763555005</v>
      </c>
      <c r="AF65">
        <v>1791156275</v>
      </c>
      <c r="AG65">
        <v>1818247576</v>
      </c>
      <c r="AH65">
        <v>1844603995</v>
      </c>
      <c r="AI65">
        <v>1869453624</v>
      </c>
      <c r="AJ65">
        <v>1893594516</v>
      </c>
      <c r="AK65">
        <v>1917553356</v>
      </c>
      <c r="AL65">
        <v>1940892820</v>
      </c>
      <c r="AM65">
        <v>1964042971</v>
      </c>
      <c r="AN65">
        <v>1986768093</v>
      </c>
      <c r="AO65">
        <v>2008680261</v>
      </c>
      <c r="AP65">
        <v>2028993034</v>
      </c>
      <c r="AQ65">
        <v>2048148696</v>
      </c>
      <c r="AR65">
        <v>2066530023</v>
      </c>
      <c r="AS65">
        <v>2083969920</v>
      </c>
      <c r="AT65">
        <v>2100610344</v>
      </c>
      <c r="AU65">
        <v>2116651449</v>
      </c>
      <c r="AV65">
        <v>2132517760</v>
      </c>
      <c r="AW65">
        <v>2148405823</v>
      </c>
      <c r="AX65">
        <v>2164155292</v>
      </c>
      <c r="AY65">
        <v>2179914111</v>
      </c>
      <c r="AZ65">
        <v>2195169711</v>
      </c>
      <c r="BA65">
        <v>2210203758</v>
      </c>
      <c r="BB65">
        <v>2225992094</v>
      </c>
      <c r="BC65">
        <v>2243776727</v>
      </c>
      <c r="BD65">
        <v>2261274500</v>
      </c>
      <c r="BE65">
        <v>2278232287</v>
      </c>
      <c r="BF65">
        <v>2294507020</v>
      </c>
      <c r="BG65">
        <v>2310721864</v>
      </c>
      <c r="BH65">
        <v>2327132966</v>
      </c>
      <c r="BI65">
        <v>2341383691</v>
      </c>
      <c r="BJ65">
        <v>2353856866</v>
      </c>
      <c r="BK65">
        <v>2363934334</v>
      </c>
      <c r="BL65">
        <v>2370214403</v>
      </c>
      <c r="BM65">
        <v>2375208613</v>
      </c>
      <c r="BN65">
        <v>2380601170</v>
      </c>
    </row>
    <row r="66" spans="1:66" x14ac:dyDescent="0.3">
      <c r="A66" t="s">
        <v>1319</v>
      </c>
      <c r="B66" t="s">
        <v>1320</v>
      </c>
      <c r="C66">
        <v>128004868</v>
      </c>
      <c r="D66">
        <v>130820612</v>
      </c>
      <c r="E66">
        <v>133624232</v>
      </c>
      <c r="F66">
        <v>136412403</v>
      </c>
      <c r="G66">
        <v>139183218</v>
      </c>
      <c r="H66">
        <v>141850212</v>
      </c>
      <c r="I66">
        <v>144532646</v>
      </c>
      <c r="J66">
        <v>147243299</v>
      </c>
      <c r="K66">
        <v>149917246</v>
      </c>
      <c r="L66">
        <v>152495588</v>
      </c>
      <c r="M66">
        <v>154904402</v>
      </c>
      <c r="N66">
        <v>157302537</v>
      </c>
      <c r="O66">
        <v>159769903</v>
      </c>
      <c r="P66">
        <v>162210682</v>
      </c>
      <c r="Q66">
        <v>164636799</v>
      </c>
      <c r="R66">
        <v>167025422</v>
      </c>
      <c r="S66">
        <v>169417382</v>
      </c>
      <c r="T66">
        <v>171856019</v>
      </c>
      <c r="U66">
        <v>174295734</v>
      </c>
      <c r="V66">
        <v>176711498</v>
      </c>
      <c r="W66">
        <v>179134330</v>
      </c>
      <c r="X66">
        <v>181605180</v>
      </c>
      <c r="Y66">
        <v>184101787</v>
      </c>
      <c r="Z66">
        <v>186767082</v>
      </c>
      <c r="AA66">
        <v>189482130</v>
      </c>
      <c r="AB66">
        <v>192169372</v>
      </c>
      <c r="AC66">
        <v>194943688</v>
      </c>
      <c r="AD66">
        <v>197778590</v>
      </c>
      <c r="AE66">
        <v>200590588</v>
      </c>
      <c r="AF66">
        <v>202941311</v>
      </c>
      <c r="AG66">
        <v>205274329</v>
      </c>
      <c r="AH66">
        <v>207469747</v>
      </c>
      <c r="AI66">
        <v>209295467</v>
      </c>
      <c r="AJ66">
        <v>210691828</v>
      </c>
      <c r="AK66">
        <v>211613719</v>
      </c>
      <c r="AL66">
        <v>212235863</v>
      </c>
      <c r="AM66">
        <v>213252888</v>
      </c>
      <c r="AN66">
        <v>214167783</v>
      </c>
      <c r="AO66">
        <v>214788022</v>
      </c>
      <c r="AP66">
        <v>215247930</v>
      </c>
      <c r="AQ66">
        <v>216002444</v>
      </c>
      <c r="AR66">
        <v>216892662</v>
      </c>
      <c r="AS66">
        <v>217808502</v>
      </c>
      <c r="AT66">
        <v>218779991</v>
      </c>
      <c r="AU66">
        <v>219860219</v>
      </c>
      <c r="AV66">
        <v>220987094</v>
      </c>
      <c r="AW66">
        <v>222181747</v>
      </c>
      <c r="AX66">
        <v>223150949</v>
      </c>
      <c r="AY66">
        <v>224757863</v>
      </c>
      <c r="AZ66">
        <v>226581984</v>
      </c>
      <c r="BA66">
        <v>228742156</v>
      </c>
      <c r="BB66">
        <v>230906639</v>
      </c>
      <c r="BC66">
        <v>232735642</v>
      </c>
      <c r="BD66">
        <v>234709774</v>
      </c>
      <c r="BE66">
        <v>236718663</v>
      </c>
      <c r="BF66">
        <v>238848390</v>
      </c>
      <c r="BG66">
        <v>240976831</v>
      </c>
      <c r="BH66">
        <v>243006453</v>
      </c>
      <c r="BI66">
        <v>245052675</v>
      </c>
      <c r="BJ66">
        <v>247195931</v>
      </c>
      <c r="BK66">
        <v>248913167</v>
      </c>
      <c r="BL66">
        <v>250663105</v>
      </c>
      <c r="BM66">
        <v>246915820</v>
      </c>
      <c r="BN66">
        <v>247474425</v>
      </c>
    </row>
    <row r="67" spans="1:66" x14ac:dyDescent="0.3">
      <c r="A67" t="s">
        <v>1321</v>
      </c>
      <c r="B67" t="s">
        <v>1322</v>
      </c>
      <c r="C67">
        <v>666316810</v>
      </c>
      <c r="D67">
        <v>674006055</v>
      </c>
      <c r="E67">
        <v>681853980</v>
      </c>
      <c r="F67">
        <v>689723879</v>
      </c>
      <c r="G67">
        <v>697597298</v>
      </c>
      <c r="H67">
        <v>705266930</v>
      </c>
      <c r="I67">
        <v>712106610</v>
      </c>
      <c r="J67">
        <v>718908748</v>
      </c>
      <c r="K67">
        <v>725472765</v>
      </c>
      <c r="L67">
        <v>731807369</v>
      </c>
      <c r="M67">
        <v>737417742</v>
      </c>
      <c r="N67">
        <v>742980383</v>
      </c>
      <c r="O67">
        <v>749108833</v>
      </c>
      <c r="P67">
        <v>755028396</v>
      </c>
      <c r="Q67">
        <v>760712783</v>
      </c>
      <c r="R67">
        <v>766207613</v>
      </c>
      <c r="S67">
        <v>771636189</v>
      </c>
      <c r="T67">
        <v>776969009</v>
      </c>
      <c r="U67">
        <v>782276619</v>
      </c>
      <c r="V67">
        <v>787563097</v>
      </c>
      <c r="W67">
        <v>792958926</v>
      </c>
      <c r="X67">
        <v>798163948</v>
      </c>
      <c r="Y67">
        <v>802960230</v>
      </c>
      <c r="Z67">
        <v>807615842</v>
      </c>
      <c r="AA67">
        <v>812473775</v>
      </c>
      <c r="AB67">
        <v>817419352</v>
      </c>
      <c r="AC67">
        <v>822539979</v>
      </c>
      <c r="AD67">
        <v>827779053</v>
      </c>
      <c r="AE67">
        <v>833073833</v>
      </c>
      <c r="AF67">
        <v>837911059</v>
      </c>
      <c r="AG67">
        <v>842133494</v>
      </c>
      <c r="AH67">
        <v>846468500</v>
      </c>
      <c r="AI67">
        <v>849923742</v>
      </c>
      <c r="AJ67">
        <v>852844448</v>
      </c>
      <c r="AK67">
        <v>855003604</v>
      </c>
      <c r="AL67">
        <v>856623954</v>
      </c>
      <c r="AM67">
        <v>858323941</v>
      </c>
      <c r="AN67">
        <v>859830347</v>
      </c>
      <c r="AO67">
        <v>861000616</v>
      </c>
      <c r="AP67">
        <v>861975173</v>
      </c>
      <c r="AQ67">
        <v>862909497</v>
      </c>
      <c r="AR67">
        <v>864048235</v>
      </c>
      <c r="AS67">
        <v>865618646</v>
      </c>
      <c r="AT67">
        <v>867833353</v>
      </c>
      <c r="AU67">
        <v>870382097</v>
      </c>
      <c r="AV67">
        <v>873001450</v>
      </c>
      <c r="AW67">
        <v>875680116</v>
      </c>
      <c r="AX67">
        <v>878472460</v>
      </c>
      <c r="AY67">
        <v>882068986</v>
      </c>
      <c r="AZ67">
        <v>885603905</v>
      </c>
      <c r="BA67">
        <v>889077806</v>
      </c>
      <c r="BB67">
        <v>891273900</v>
      </c>
      <c r="BC67">
        <v>894705970</v>
      </c>
      <c r="BD67">
        <v>898764759</v>
      </c>
      <c r="BE67">
        <v>902938502</v>
      </c>
      <c r="BF67">
        <v>907094808</v>
      </c>
      <c r="BG67">
        <v>911173722</v>
      </c>
      <c r="BH67">
        <v>914748588</v>
      </c>
      <c r="BI67">
        <v>918181600</v>
      </c>
      <c r="BJ67">
        <v>921212388</v>
      </c>
      <c r="BK67">
        <v>923384672</v>
      </c>
      <c r="BL67">
        <v>924168763</v>
      </c>
      <c r="BM67">
        <v>920988359</v>
      </c>
      <c r="BN67">
        <v>923929755</v>
      </c>
    </row>
    <row r="68" spans="1:66" x14ac:dyDescent="0.3">
      <c r="A68" t="s">
        <v>1118</v>
      </c>
      <c r="B68" t="s">
        <v>1117</v>
      </c>
      <c r="C68">
        <v>4618158</v>
      </c>
      <c r="D68">
        <v>4751507</v>
      </c>
      <c r="E68">
        <v>4890425</v>
      </c>
      <c r="F68">
        <v>5034334</v>
      </c>
      <c r="G68">
        <v>5183283</v>
      </c>
      <c r="H68">
        <v>5337351</v>
      </c>
      <c r="I68">
        <v>5495761</v>
      </c>
      <c r="J68">
        <v>5658446</v>
      </c>
      <c r="K68">
        <v>5825663</v>
      </c>
      <c r="L68">
        <v>5997037</v>
      </c>
      <c r="M68">
        <v>6172215</v>
      </c>
      <c r="N68">
        <v>6350944</v>
      </c>
      <c r="O68">
        <v>6533630</v>
      </c>
      <c r="P68">
        <v>6720443</v>
      </c>
      <c r="Q68">
        <v>6911123</v>
      </c>
      <c r="R68">
        <v>7105786</v>
      </c>
      <c r="S68">
        <v>7304349</v>
      </c>
      <c r="T68">
        <v>7506665</v>
      </c>
      <c r="U68">
        <v>7712718</v>
      </c>
      <c r="V68">
        <v>7922490</v>
      </c>
      <c r="W68">
        <v>8135845</v>
      </c>
      <c r="X68">
        <v>8352602</v>
      </c>
      <c r="Y68">
        <v>8572607</v>
      </c>
      <c r="Z68">
        <v>8795873</v>
      </c>
      <c r="AA68">
        <v>9022979</v>
      </c>
      <c r="AB68">
        <v>9254311</v>
      </c>
      <c r="AC68">
        <v>9490096</v>
      </c>
      <c r="AD68">
        <v>9729376</v>
      </c>
      <c r="AE68">
        <v>9969788</v>
      </c>
      <c r="AF68">
        <v>10210185</v>
      </c>
      <c r="AG68">
        <v>10449837</v>
      </c>
      <c r="AH68">
        <v>10686279</v>
      </c>
      <c r="AI68">
        <v>10914222</v>
      </c>
      <c r="AJ68">
        <v>11132829</v>
      </c>
      <c r="AK68">
        <v>11347652</v>
      </c>
      <c r="AL68">
        <v>11561683</v>
      </c>
      <c r="AM68">
        <v>11775221</v>
      </c>
      <c r="AN68">
        <v>11987838</v>
      </c>
      <c r="AO68">
        <v>12199693</v>
      </c>
      <c r="AP68">
        <v>12412046</v>
      </c>
      <c r="AQ68">
        <v>12626507</v>
      </c>
      <c r="AR68">
        <v>12845521</v>
      </c>
      <c r="AS68">
        <v>13070609</v>
      </c>
      <c r="AT68">
        <v>13301184</v>
      </c>
      <c r="AU68">
        <v>13534593</v>
      </c>
      <c r="AV68">
        <v>13770012</v>
      </c>
      <c r="AW68">
        <v>14009061</v>
      </c>
      <c r="AX68">
        <v>14251835</v>
      </c>
      <c r="AY68">
        <v>14496797</v>
      </c>
      <c r="AZ68">
        <v>14742766</v>
      </c>
      <c r="BA68">
        <v>14989585</v>
      </c>
      <c r="BB68">
        <v>15237728</v>
      </c>
      <c r="BC68">
        <v>15483883</v>
      </c>
      <c r="BD68">
        <v>15722989</v>
      </c>
      <c r="BE68">
        <v>15957994</v>
      </c>
      <c r="BF68">
        <v>16195902</v>
      </c>
      <c r="BG68">
        <v>16439585</v>
      </c>
      <c r="BH68">
        <v>16696944</v>
      </c>
      <c r="BI68">
        <v>17015672</v>
      </c>
      <c r="BJ68">
        <v>17343740</v>
      </c>
      <c r="BK68">
        <v>17588595</v>
      </c>
      <c r="BL68">
        <v>17797737</v>
      </c>
      <c r="BM68">
        <v>18001000</v>
      </c>
      <c r="BN68">
        <v>18190484</v>
      </c>
    </row>
    <row r="69" spans="1:66" x14ac:dyDescent="0.3">
      <c r="A69" t="s">
        <v>1323</v>
      </c>
      <c r="B69" t="s">
        <v>1119</v>
      </c>
      <c r="C69">
        <v>27034499</v>
      </c>
      <c r="D69">
        <v>27747867</v>
      </c>
      <c r="E69">
        <v>28485022</v>
      </c>
      <c r="F69">
        <v>29245936</v>
      </c>
      <c r="G69">
        <v>30026648</v>
      </c>
      <c r="H69">
        <v>30818469</v>
      </c>
      <c r="I69">
        <v>31613132</v>
      </c>
      <c r="J69">
        <v>32408414</v>
      </c>
      <c r="K69">
        <v>33204629</v>
      </c>
      <c r="L69">
        <v>33995955</v>
      </c>
      <c r="M69">
        <v>34781986</v>
      </c>
      <c r="N69">
        <v>35555969</v>
      </c>
      <c r="O69">
        <v>36330768</v>
      </c>
      <c r="P69">
        <v>37120776</v>
      </c>
      <c r="Q69">
        <v>37930374</v>
      </c>
      <c r="R69">
        <v>38775584</v>
      </c>
      <c r="S69">
        <v>39649050</v>
      </c>
      <c r="T69">
        <v>40577356</v>
      </c>
      <c r="U69">
        <v>41576636</v>
      </c>
      <c r="V69">
        <v>42632458</v>
      </c>
      <c r="W69">
        <v>43748556</v>
      </c>
      <c r="X69">
        <v>44899573</v>
      </c>
      <c r="Y69">
        <v>46088647</v>
      </c>
      <c r="Z69">
        <v>47353665</v>
      </c>
      <c r="AA69">
        <v>48676443</v>
      </c>
      <c r="AB69">
        <v>50035843</v>
      </c>
      <c r="AC69">
        <v>51424313</v>
      </c>
      <c r="AD69">
        <v>52841319</v>
      </c>
      <c r="AE69">
        <v>54298446</v>
      </c>
      <c r="AF69">
        <v>55765843</v>
      </c>
      <c r="AG69">
        <v>57214630</v>
      </c>
      <c r="AH69">
        <v>58611032</v>
      </c>
      <c r="AI69">
        <v>59989142</v>
      </c>
      <c r="AJ69">
        <v>61382200</v>
      </c>
      <c r="AK69">
        <v>62775847</v>
      </c>
      <c r="AL69">
        <v>64166908</v>
      </c>
      <c r="AM69">
        <v>65565195</v>
      </c>
      <c r="AN69">
        <v>66993728</v>
      </c>
      <c r="AO69">
        <v>68446011</v>
      </c>
      <c r="AP69">
        <v>69907887</v>
      </c>
      <c r="AQ69">
        <v>71371371</v>
      </c>
      <c r="AR69">
        <v>72854261</v>
      </c>
      <c r="AS69">
        <v>74393759</v>
      </c>
      <c r="AT69">
        <v>75963322</v>
      </c>
      <c r="AU69">
        <v>77522427</v>
      </c>
      <c r="AV69">
        <v>79075310</v>
      </c>
      <c r="AW69">
        <v>80629670</v>
      </c>
      <c r="AX69">
        <v>82218755</v>
      </c>
      <c r="AY69">
        <v>83844783</v>
      </c>
      <c r="AZ69">
        <v>85501064</v>
      </c>
      <c r="BA69">
        <v>87252413</v>
      </c>
      <c r="BB69">
        <v>89200054</v>
      </c>
      <c r="BC69">
        <v>91240376</v>
      </c>
      <c r="BD69">
        <v>93377890</v>
      </c>
      <c r="BE69">
        <v>95592324</v>
      </c>
      <c r="BF69">
        <v>97723799</v>
      </c>
      <c r="BG69">
        <v>99784030</v>
      </c>
      <c r="BH69">
        <v>101789386</v>
      </c>
      <c r="BI69">
        <v>103740765</v>
      </c>
      <c r="BJ69">
        <v>105618671</v>
      </c>
      <c r="BK69">
        <v>107465134</v>
      </c>
      <c r="BL69">
        <v>109262178</v>
      </c>
      <c r="BM69">
        <v>110990103</v>
      </c>
      <c r="BN69">
        <v>112716598</v>
      </c>
    </row>
    <row r="70" spans="1:66" x14ac:dyDescent="0.3">
      <c r="A70" t="s">
        <v>1324</v>
      </c>
      <c r="B70" t="s">
        <v>1325</v>
      </c>
      <c r="C70">
        <v>269385168</v>
      </c>
      <c r="D70">
        <v>271727867</v>
      </c>
      <c r="E70">
        <v>274105087</v>
      </c>
      <c r="F70">
        <v>276517540</v>
      </c>
      <c r="G70">
        <v>278953378</v>
      </c>
      <c r="H70">
        <v>281432987</v>
      </c>
      <c r="I70">
        <v>283803777</v>
      </c>
      <c r="J70">
        <v>285908171</v>
      </c>
      <c r="K70">
        <v>287907506</v>
      </c>
      <c r="L70">
        <v>289911679</v>
      </c>
      <c r="M70">
        <v>291544661</v>
      </c>
      <c r="N70">
        <v>293192129</v>
      </c>
      <c r="O70">
        <v>295189531</v>
      </c>
      <c r="P70">
        <v>297059919</v>
      </c>
      <c r="Q70">
        <v>298719155</v>
      </c>
      <c r="R70">
        <v>300215183</v>
      </c>
      <c r="S70">
        <v>301525335</v>
      </c>
      <c r="T70">
        <v>302746591</v>
      </c>
      <c r="U70">
        <v>304018977</v>
      </c>
      <c r="V70">
        <v>305309331</v>
      </c>
      <c r="W70">
        <v>306668989</v>
      </c>
      <c r="X70">
        <v>307893389</v>
      </c>
      <c r="Y70">
        <v>308788172</v>
      </c>
      <c r="Z70">
        <v>309428033</v>
      </c>
      <c r="AA70">
        <v>309939418</v>
      </c>
      <c r="AB70">
        <v>310521622</v>
      </c>
      <c r="AC70">
        <v>311282260</v>
      </c>
      <c r="AD70">
        <v>312125526</v>
      </c>
      <c r="AE70">
        <v>313147164</v>
      </c>
      <c r="AF70">
        <v>314457467</v>
      </c>
      <c r="AG70">
        <v>315870845</v>
      </c>
      <c r="AH70">
        <v>317411362</v>
      </c>
      <c r="AI70">
        <v>318746422</v>
      </c>
      <c r="AJ70">
        <v>320056200</v>
      </c>
      <c r="AK70">
        <v>321026530</v>
      </c>
      <c r="AL70">
        <v>321810273</v>
      </c>
      <c r="AM70">
        <v>322570180</v>
      </c>
      <c r="AN70">
        <v>323308056</v>
      </c>
      <c r="AO70">
        <v>323978576</v>
      </c>
      <c r="AP70">
        <v>324784751</v>
      </c>
      <c r="AQ70">
        <v>325792924</v>
      </c>
      <c r="AR70">
        <v>326862028</v>
      </c>
      <c r="AS70">
        <v>328443707</v>
      </c>
      <c r="AT70">
        <v>330208234</v>
      </c>
      <c r="AU70">
        <v>332006792</v>
      </c>
      <c r="AV70">
        <v>333709006</v>
      </c>
      <c r="AW70">
        <v>335250759</v>
      </c>
      <c r="AX70">
        <v>336971054</v>
      </c>
      <c r="AY70">
        <v>338599969</v>
      </c>
      <c r="AZ70">
        <v>339682801</v>
      </c>
      <c r="BA70">
        <v>340467048</v>
      </c>
      <c r="BB70">
        <v>339722971</v>
      </c>
      <c r="BC70">
        <v>340450693</v>
      </c>
      <c r="BD70">
        <v>341584506</v>
      </c>
      <c r="BE70">
        <v>342725321</v>
      </c>
      <c r="BF70">
        <v>343718279</v>
      </c>
      <c r="BG70">
        <v>344683796</v>
      </c>
      <c r="BH70">
        <v>345370612</v>
      </c>
      <c r="BI70">
        <v>346153001</v>
      </c>
      <c r="BJ70">
        <v>346517987</v>
      </c>
      <c r="BK70">
        <v>346961127</v>
      </c>
      <c r="BL70">
        <v>346942960</v>
      </c>
      <c r="BM70">
        <v>348331552</v>
      </c>
      <c r="BN70">
        <v>350357398</v>
      </c>
    </row>
    <row r="71" spans="1:66" x14ac:dyDescent="0.3">
      <c r="A71" t="s">
        <v>1122</v>
      </c>
      <c r="B71" t="s">
        <v>1121</v>
      </c>
      <c r="C71">
        <v>993568</v>
      </c>
      <c r="D71">
        <v>1016932</v>
      </c>
      <c r="E71">
        <v>1041552</v>
      </c>
      <c r="F71">
        <v>1067295</v>
      </c>
      <c r="G71">
        <v>1094042</v>
      </c>
      <c r="H71">
        <v>1121739</v>
      </c>
      <c r="I71">
        <v>1150264</v>
      </c>
      <c r="J71">
        <v>1179554</v>
      </c>
      <c r="K71">
        <v>1209602</v>
      </c>
      <c r="L71">
        <v>1240562</v>
      </c>
      <c r="M71">
        <v>1272748</v>
      </c>
      <c r="N71">
        <v>1306234</v>
      </c>
      <c r="O71">
        <v>1340838</v>
      </c>
      <c r="P71">
        <v>1376516</v>
      </c>
      <c r="Q71">
        <v>1413220</v>
      </c>
      <c r="R71">
        <v>1450867</v>
      </c>
      <c r="S71">
        <v>1489656</v>
      </c>
      <c r="T71">
        <v>1529802</v>
      </c>
      <c r="U71">
        <v>1571193</v>
      </c>
      <c r="V71">
        <v>1613829</v>
      </c>
      <c r="W71">
        <v>1657982</v>
      </c>
      <c r="X71">
        <v>1703789</v>
      </c>
      <c r="Y71">
        <v>1751045</v>
      </c>
      <c r="Z71">
        <v>1799814</v>
      </c>
      <c r="AA71">
        <v>1849594</v>
      </c>
      <c r="AB71">
        <v>1899243</v>
      </c>
      <c r="AC71">
        <v>1949611</v>
      </c>
      <c r="AD71">
        <v>2000355</v>
      </c>
      <c r="AE71">
        <v>2051546</v>
      </c>
      <c r="AF71">
        <v>2102131</v>
      </c>
      <c r="AG71">
        <v>2149960</v>
      </c>
      <c r="AH71">
        <v>2039220</v>
      </c>
      <c r="AI71">
        <v>1921153</v>
      </c>
      <c r="AJ71">
        <v>1981419</v>
      </c>
      <c r="AK71">
        <v>2042500</v>
      </c>
      <c r="AL71">
        <v>2157220</v>
      </c>
      <c r="AM71">
        <v>2264073</v>
      </c>
      <c r="AN71">
        <v>2291561</v>
      </c>
      <c r="AO71">
        <v>2322753</v>
      </c>
      <c r="AP71">
        <v>2356477</v>
      </c>
      <c r="AQ71">
        <v>2392880</v>
      </c>
      <c r="AR71">
        <v>2461927</v>
      </c>
      <c r="AS71">
        <v>2547424</v>
      </c>
      <c r="AT71">
        <v>2653390</v>
      </c>
      <c r="AU71">
        <v>2763140</v>
      </c>
      <c r="AV71">
        <v>2831732</v>
      </c>
      <c r="AW71">
        <v>2880093</v>
      </c>
      <c r="AX71">
        <v>2926168</v>
      </c>
      <c r="AY71">
        <v>3005779</v>
      </c>
      <c r="AZ71">
        <v>3083888</v>
      </c>
      <c r="BA71">
        <v>3147727</v>
      </c>
      <c r="BB71">
        <v>3207570</v>
      </c>
      <c r="BC71">
        <v>3252596</v>
      </c>
      <c r="BD71">
        <v>3296367</v>
      </c>
      <c r="BE71">
        <v>3323425</v>
      </c>
      <c r="BF71">
        <v>3340006</v>
      </c>
      <c r="BG71">
        <v>3365287</v>
      </c>
      <c r="BH71">
        <v>3396933</v>
      </c>
      <c r="BI71">
        <v>3445374</v>
      </c>
      <c r="BJ71">
        <v>3498818</v>
      </c>
      <c r="BK71">
        <v>3555868</v>
      </c>
      <c r="BL71">
        <v>3620312</v>
      </c>
      <c r="BM71">
        <v>3684032</v>
      </c>
      <c r="BN71">
        <v>3748901</v>
      </c>
    </row>
    <row r="72" spans="1:66" x14ac:dyDescent="0.3">
      <c r="A72" t="s">
        <v>1126</v>
      </c>
      <c r="B72" t="s">
        <v>1125</v>
      </c>
      <c r="C72">
        <v>30455000</v>
      </c>
      <c r="D72">
        <v>30739250</v>
      </c>
      <c r="E72">
        <v>31023366</v>
      </c>
      <c r="F72">
        <v>31296651</v>
      </c>
      <c r="G72">
        <v>31609195</v>
      </c>
      <c r="H72">
        <v>31954292</v>
      </c>
      <c r="I72">
        <v>32283194</v>
      </c>
      <c r="J72">
        <v>32682947</v>
      </c>
      <c r="K72">
        <v>33113134</v>
      </c>
      <c r="L72">
        <v>33441054</v>
      </c>
      <c r="M72">
        <v>33814531</v>
      </c>
      <c r="N72">
        <v>34224490</v>
      </c>
      <c r="O72">
        <v>34604469</v>
      </c>
      <c r="P72">
        <v>34988947</v>
      </c>
      <c r="Q72">
        <v>35373335</v>
      </c>
      <c r="R72">
        <v>35757900</v>
      </c>
      <c r="S72">
        <v>36137812</v>
      </c>
      <c r="T72">
        <v>36511638</v>
      </c>
      <c r="U72">
        <v>36864898</v>
      </c>
      <c r="V72">
        <v>37191330</v>
      </c>
      <c r="W72">
        <v>37491165</v>
      </c>
      <c r="X72">
        <v>37758631</v>
      </c>
      <c r="Y72">
        <v>37986012</v>
      </c>
      <c r="Z72">
        <v>38171525</v>
      </c>
      <c r="AA72">
        <v>38330364</v>
      </c>
      <c r="AB72">
        <v>38469512</v>
      </c>
      <c r="AC72">
        <v>38584624</v>
      </c>
      <c r="AD72">
        <v>38684815</v>
      </c>
      <c r="AE72">
        <v>38766939</v>
      </c>
      <c r="AF72">
        <v>38827764</v>
      </c>
      <c r="AG72">
        <v>38867322</v>
      </c>
      <c r="AH72">
        <v>38966376</v>
      </c>
      <c r="AI72">
        <v>39157685</v>
      </c>
      <c r="AJ72">
        <v>39361262</v>
      </c>
      <c r="AK72">
        <v>39549108</v>
      </c>
      <c r="AL72">
        <v>39724050</v>
      </c>
      <c r="AM72">
        <v>39889852</v>
      </c>
      <c r="AN72">
        <v>40057389</v>
      </c>
      <c r="AO72">
        <v>40223509</v>
      </c>
      <c r="AP72">
        <v>40386875</v>
      </c>
      <c r="AQ72">
        <v>40567864</v>
      </c>
      <c r="AR72">
        <v>40850412</v>
      </c>
      <c r="AS72">
        <v>41431558</v>
      </c>
      <c r="AT72">
        <v>42187645</v>
      </c>
      <c r="AU72">
        <v>42921895</v>
      </c>
      <c r="AV72">
        <v>43653155</v>
      </c>
      <c r="AW72">
        <v>44397319</v>
      </c>
      <c r="AX72">
        <v>45226803</v>
      </c>
      <c r="AY72">
        <v>45954106</v>
      </c>
      <c r="AZ72">
        <v>46362946</v>
      </c>
      <c r="BA72">
        <v>46576897</v>
      </c>
      <c r="BB72">
        <v>46742697</v>
      </c>
      <c r="BC72">
        <v>46773055</v>
      </c>
      <c r="BD72">
        <v>46620045</v>
      </c>
      <c r="BE72">
        <v>46480882</v>
      </c>
      <c r="BF72">
        <v>46444832</v>
      </c>
      <c r="BG72">
        <v>46484062</v>
      </c>
      <c r="BH72">
        <v>46593236</v>
      </c>
      <c r="BI72">
        <v>46797754</v>
      </c>
      <c r="BJ72">
        <v>47134837</v>
      </c>
      <c r="BK72">
        <v>47365655</v>
      </c>
      <c r="BL72">
        <v>47415794</v>
      </c>
      <c r="BM72">
        <v>47778340</v>
      </c>
      <c r="BN72">
        <v>48373336</v>
      </c>
    </row>
    <row r="73" spans="1:66" x14ac:dyDescent="0.3">
      <c r="A73" t="s">
        <v>192</v>
      </c>
      <c r="B73" t="s">
        <v>193</v>
      </c>
      <c r="C73">
        <v>1211537</v>
      </c>
      <c r="D73">
        <v>1225077</v>
      </c>
      <c r="E73">
        <v>1241623</v>
      </c>
      <c r="F73">
        <v>1258857</v>
      </c>
      <c r="G73">
        <v>1277086</v>
      </c>
      <c r="H73">
        <v>1294566</v>
      </c>
      <c r="I73">
        <v>1308597</v>
      </c>
      <c r="J73">
        <v>1318946</v>
      </c>
      <c r="K73">
        <v>1331214</v>
      </c>
      <c r="L73">
        <v>1345249</v>
      </c>
      <c r="M73">
        <v>1360076</v>
      </c>
      <c r="N73">
        <v>1376955</v>
      </c>
      <c r="O73">
        <v>1392518</v>
      </c>
      <c r="P73">
        <v>1405951</v>
      </c>
      <c r="Q73">
        <v>1418169</v>
      </c>
      <c r="R73">
        <v>1429352</v>
      </c>
      <c r="S73">
        <v>1439576</v>
      </c>
      <c r="T73">
        <v>1450211</v>
      </c>
      <c r="U73">
        <v>1460188</v>
      </c>
      <c r="V73">
        <v>1468333</v>
      </c>
      <c r="W73">
        <v>1477219</v>
      </c>
      <c r="X73">
        <v>1487666</v>
      </c>
      <c r="Y73">
        <v>1498414</v>
      </c>
      <c r="Z73">
        <v>1508745</v>
      </c>
      <c r="AA73">
        <v>1518617</v>
      </c>
      <c r="AB73">
        <v>1528781</v>
      </c>
      <c r="AC73">
        <v>1540190</v>
      </c>
      <c r="AD73">
        <v>1552221</v>
      </c>
      <c r="AE73">
        <v>1561900</v>
      </c>
      <c r="AF73">
        <v>1568131</v>
      </c>
      <c r="AG73">
        <v>1569174</v>
      </c>
      <c r="AH73">
        <v>1561314</v>
      </c>
      <c r="AI73">
        <v>1533091</v>
      </c>
      <c r="AJ73">
        <v>1494128</v>
      </c>
      <c r="AK73">
        <v>1462514</v>
      </c>
      <c r="AL73">
        <v>1436634</v>
      </c>
      <c r="AM73">
        <v>1415594</v>
      </c>
      <c r="AN73">
        <v>1399535</v>
      </c>
      <c r="AO73">
        <v>1386156</v>
      </c>
      <c r="AP73">
        <v>1390244</v>
      </c>
      <c r="AQ73">
        <v>1396985</v>
      </c>
      <c r="AR73">
        <v>1388115</v>
      </c>
      <c r="AS73">
        <v>1379350</v>
      </c>
      <c r="AT73">
        <v>1370720</v>
      </c>
      <c r="AU73">
        <v>1362550</v>
      </c>
      <c r="AV73">
        <v>1354775</v>
      </c>
      <c r="AW73">
        <v>1346810</v>
      </c>
      <c r="AX73">
        <v>1340680</v>
      </c>
      <c r="AY73">
        <v>1337090</v>
      </c>
      <c r="AZ73">
        <v>1334515</v>
      </c>
      <c r="BA73">
        <v>1331475</v>
      </c>
      <c r="BB73">
        <v>1327439</v>
      </c>
      <c r="BC73">
        <v>1322696</v>
      </c>
      <c r="BD73">
        <v>1317997</v>
      </c>
      <c r="BE73">
        <v>1314545</v>
      </c>
      <c r="BF73">
        <v>1315407</v>
      </c>
      <c r="BG73">
        <v>1315790</v>
      </c>
      <c r="BH73">
        <v>1317384</v>
      </c>
      <c r="BI73">
        <v>1321977</v>
      </c>
      <c r="BJ73">
        <v>1326898</v>
      </c>
      <c r="BK73">
        <v>1329522</v>
      </c>
      <c r="BL73">
        <v>1330932</v>
      </c>
      <c r="BM73">
        <v>1348840</v>
      </c>
      <c r="BN73">
        <v>1366188</v>
      </c>
    </row>
    <row r="74" spans="1:66" x14ac:dyDescent="0.3">
      <c r="A74" t="s">
        <v>1128</v>
      </c>
      <c r="B74" t="s">
        <v>1127</v>
      </c>
      <c r="C74">
        <v>21739710</v>
      </c>
      <c r="D74">
        <v>22281675</v>
      </c>
      <c r="E74">
        <v>22852158</v>
      </c>
      <c r="F74">
        <v>23448979</v>
      </c>
      <c r="G74">
        <v>24073696</v>
      </c>
      <c r="H74">
        <v>24727506</v>
      </c>
      <c r="I74">
        <v>25377645</v>
      </c>
      <c r="J74">
        <v>26051596</v>
      </c>
      <c r="K74">
        <v>26778653</v>
      </c>
      <c r="L74">
        <v>27530388</v>
      </c>
      <c r="M74">
        <v>28308246</v>
      </c>
      <c r="N74">
        <v>29099594</v>
      </c>
      <c r="O74">
        <v>29891328</v>
      </c>
      <c r="P74">
        <v>30694316</v>
      </c>
      <c r="Q74">
        <v>31488613</v>
      </c>
      <c r="R74">
        <v>32252783</v>
      </c>
      <c r="S74">
        <v>33062216</v>
      </c>
      <c r="T74">
        <v>33695018</v>
      </c>
      <c r="U74">
        <v>34259065</v>
      </c>
      <c r="V74">
        <v>34758823</v>
      </c>
      <c r="W74">
        <v>34945469</v>
      </c>
      <c r="X74">
        <v>35818844</v>
      </c>
      <c r="Y74">
        <v>37213393</v>
      </c>
      <c r="Z74">
        <v>38235187</v>
      </c>
      <c r="AA74">
        <v>39202890</v>
      </c>
      <c r="AB74">
        <v>40285965</v>
      </c>
      <c r="AC74">
        <v>41455309</v>
      </c>
      <c r="AD74">
        <v>42851957</v>
      </c>
      <c r="AE74">
        <v>44511537</v>
      </c>
      <c r="AF74">
        <v>46195954</v>
      </c>
      <c r="AG74">
        <v>47878073</v>
      </c>
      <c r="AH74">
        <v>49937430</v>
      </c>
      <c r="AI74">
        <v>52011554</v>
      </c>
      <c r="AJ74">
        <v>53791672</v>
      </c>
      <c r="AK74">
        <v>55620211</v>
      </c>
      <c r="AL74">
        <v>57476536</v>
      </c>
      <c r="AM74">
        <v>59347649</v>
      </c>
      <c r="AN74">
        <v>61233480</v>
      </c>
      <c r="AO74">
        <v>63136493</v>
      </c>
      <c r="AP74">
        <v>65077579</v>
      </c>
      <c r="AQ74">
        <v>67031867</v>
      </c>
      <c r="AR74">
        <v>69018932</v>
      </c>
      <c r="AS74">
        <v>71073215</v>
      </c>
      <c r="AT74">
        <v>73168838</v>
      </c>
      <c r="AU74">
        <v>75301026</v>
      </c>
      <c r="AV74">
        <v>77469940</v>
      </c>
      <c r="AW74">
        <v>79691050</v>
      </c>
      <c r="AX74">
        <v>81996185</v>
      </c>
      <c r="AY74">
        <v>84357105</v>
      </c>
      <c r="AZ74">
        <v>86755585</v>
      </c>
      <c r="BA74">
        <v>89237791</v>
      </c>
      <c r="BB74">
        <v>91817929</v>
      </c>
      <c r="BC74">
        <v>94451280</v>
      </c>
      <c r="BD74">
        <v>97084366</v>
      </c>
      <c r="BE74">
        <v>99746766</v>
      </c>
      <c r="BF74">
        <v>102471895</v>
      </c>
      <c r="BG74">
        <v>105293228</v>
      </c>
      <c r="BH74">
        <v>108197950</v>
      </c>
      <c r="BI74">
        <v>111129438</v>
      </c>
      <c r="BJ74">
        <v>114120594</v>
      </c>
      <c r="BK74">
        <v>117190911</v>
      </c>
      <c r="BL74">
        <v>120283026</v>
      </c>
      <c r="BM74">
        <v>123379924</v>
      </c>
      <c r="BN74">
        <v>126527060</v>
      </c>
    </row>
    <row r="75" spans="1:66" x14ac:dyDescent="0.3">
      <c r="A75" t="s">
        <v>1326</v>
      </c>
      <c r="B75" t="s">
        <v>1327</v>
      </c>
      <c r="C75">
        <v>356947129</v>
      </c>
      <c r="D75">
        <v>359937892</v>
      </c>
      <c r="E75">
        <v>362998792</v>
      </c>
      <c r="F75">
        <v>366152978</v>
      </c>
      <c r="G75">
        <v>369387359</v>
      </c>
      <c r="H75">
        <v>372533839</v>
      </c>
      <c r="I75">
        <v>375563155</v>
      </c>
      <c r="J75">
        <v>378512582</v>
      </c>
      <c r="K75">
        <v>381280912</v>
      </c>
      <c r="L75">
        <v>383958527</v>
      </c>
      <c r="M75">
        <v>386116472</v>
      </c>
      <c r="N75">
        <v>388229403</v>
      </c>
      <c r="O75">
        <v>390859355</v>
      </c>
      <c r="P75">
        <v>393386261</v>
      </c>
      <c r="Q75">
        <v>395778659</v>
      </c>
      <c r="R75">
        <v>398096151</v>
      </c>
      <c r="S75">
        <v>400211366</v>
      </c>
      <c r="T75">
        <v>402170665</v>
      </c>
      <c r="U75">
        <v>404056840</v>
      </c>
      <c r="V75">
        <v>405879948</v>
      </c>
      <c r="W75">
        <v>407760829</v>
      </c>
      <c r="X75">
        <v>409490677</v>
      </c>
      <c r="Y75">
        <v>410875285</v>
      </c>
      <c r="Z75">
        <v>411956706</v>
      </c>
      <c r="AA75">
        <v>412891310</v>
      </c>
      <c r="AB75">
        <v>413866961</v>
      </c>
      <c r="AC75">
        <v>414996545</v>
      </c>
      <c r="AD75">
        <v>416199247</v>
      </c>
      <c r="AE75">
        <v>417528527</v>
      </c>
      <c r="AF75">
        <v>418925771</v>
      </c>
      <c r="AG75">
        <v>420308868</v>
      </c>
      <c r="AH75">
        <v>421744728</v>
      </c>
      <c r="AI75">
        <v>422972438</v>
      </c>
      <c r="AJ75">
        <v>424347768</v>
      </c>
      <c r="AK75">
        <v>425406851</v>
      </c>
      <c r="AL75">
        <v>426212138</v>
      </c>
      <c r="AM75">
        <v>426906931</v>
      </c>
      <c r="AN75">
        <v>427549432</v>
      </c>
      <c r="AO75">
        <v>428122323</v>
      </c>
      <c r="AP75">
        <v>428828749</v>
      </c>
      <c r="AQ75">
        <v>429342455</v>
      </c>
      <c r="AR75">
        <v>429910140</v>
      </c>
      <c r="AS75">
        <v>430898141</v>
      </c>
      <c r="AT75">
        <v>432434810</v>
      </c>
      <c r="AU75">
        <v>434059923</v>
      </c>
      <c r="AV75">
        <v>435600393</v>
      </c>
      <c r="AW75">
        <v>437014860</v>
      </c>
      <c r="AX75">
        <v>438484072</v>
      </c>
      <c r="AY75">
        <v>439892213</v>
      </c>
      <c r="AZ75">
        <v>440934530</v>
      </c>
      <c r="BA75">
        <v>441552554</v>
      </c>
      <c r="BB75">
        <v>440769682</v>
      </c>
      <c r="BC75">
        <v>441419873</v>
      </c>
      <c r="BD75">
        <v>442496175</v>
      </c>
      <c r="BE75">
        <v>443601373</v>
      </c>
      <c r="BF75">
        <v>444570054</v>
      </c>
      <c r="BG75">
        <v>445515422</v>
      </c>
      <c r="BH75">
        <v>446215182</v>
      </c>
      <c r="BI75">
        <v>447001100</v>
      </c>
      <c r="BJ75">
        <v>447367191</v>
      </c>
      <c r="BK75">
        <v>447692315</v>
      </c>
      <c r="BL75">
        <v>447178093</v>
      </c>
      <c r="BM75">
        <v>447370551</v>
      </c>
      <c r="BN75">
        <v>449476878</v>
      </c>
    </row>
    <row r="76" spans="1:66" x14ac:dyDescent="0.3">
      <c r="A76" t="s">
        <v>1328</v>
      </c>
      <c r="B76" t="s">
        <v>1329</v>
      </c>
      <c r="C76">
        <v>245054534</v>
      </c>
      <c r="D76">
        <v>250320873</v>
      </c>
      <c r="E76">
        <v>255792159</v>
      </c>
      <c r="F76">
        <v>261419447</v>
      </c>
      <c r="G76">
        <v>267217843</v>
      </c>
      <c r="H76">
        <v>273158163</v>
      </c>
      <c r="I76">
        <v>279188642</v>
      </c>
      <c r="J76">
        <v>285373478</v>
      </c>
      <c r="K76">
        <v>291752459</v>
      </c>
      <c r="L76">
        <v>298271801</v>
      </c>
      <c r="M76">
        <v>304932033</v>
      </c>
      <c r="N76">
        <v>311832372</v>
      </c>
      <c r="O76">
        <v>318935016</v>
      </c>
      <c r="P76">
        <v>326272935</v>
      </c>
      <c r="Q76">
        <v>333989998</v>
      </c>
      <c r="R76">
        <v>341992350</v>
      </c>
      <c r="S76">
        <v>350514335</v>
      </c>
      <c r="T76">
        <v>359107582</v>
      </c>
      <c r="U76">
        <v>367561832</v>
      </c>
      <c r="V76">
        <v>376388838</v>
      </c>
      <c r="W76">
        <v>384920163</v>
      </c>
      <c r="X76">
        <v>392974640</v>
      </c>
      <c r="Y76">
        <v>401640207</v>
      </c>
      <c r="Z76">
        <v>410883312</v>
      </c>
      <c r="AA76">
        <v>420542833</v>
      </c>
      <c r="AB76">
        <v>430465285</v>
      </c>
      <c r="AC76">
        <v>440305466</v>
      </c>
      <c r="AD76">
        <v>450279373</v>
      </c>
      <c r="AE76">
        <v>460218589</v>
      </c>
      <c r="AF76">
        <v>470693520</v>
      </c>
      <c r="AG76">
        <v>483150347</v>
      </c>
      <c r="AH76">
        <v>493951561</v>
      </c>
      <c r="AI76">
        <v>506399343</v>
      </c>
      <c r="AJ76">
        <v>519989331</v>
      </c>
      <c r="AK76">
        <v>534524440</v>
      </c>
      <c r="AL76">
        <v>548658108</v>
      </c>
      <c r="AM76">
        <v>561040609</v>
      </c>
      <c r="AN76">
        <v>573237237</v>
      </c>
      <c r="AO76">
        <v>585939751</v>
      </c>
      <c r="AP76">
        <v>599275261</v>
      </c>
      <c r="AQ76">
        <v>612751355</v>
      </c>
      <c r="AR76">
        <v>626553787</v>
      </c>
      <c r="AS76">
        <v>641963096</v>
      </c>
      <c r="AT76">
        <v>658162649</v>
      </c>
      <c r="AU76">
        <v>674132661</v>
      </c>
      <c r="AV76">
        <v>690520612</v>
      </c>
      <c r="AW76">
        <v>707248050</v>
      </c>
      <c r="AX76">
        <v>723930164</v>
      </c>
      <c r="AY76">
        <v>741362383</v>
      </c>
      <c r="AZ76">
        <v>759831151</v>
      </c>
      <c r="BA76">
        <v>778734290</v>
      </c>
      <c r="BB76">
        <v>797793348</v>
      </c>
      <c r="BC76">
        <v>817412582</v>
      </c>
      <c r="BD76">
        <v>837410155</v>
      </c>
      <c r="BE76">
        <v>857018106</v>
      </c>
      <c r="BF76">
        <v>876449625</v>
      </c>
      <c r="BG76">
        <v>896306261</v>
      </c>
      <c r="BH76">
        <v>916477490</v>
      </c>
      <c r="BI76">
        <v>936789597</v>
      </c>
      <c r="BJ76">
        <v>957873862</v>
      </c>
      <c r="BK76">
        <v>979839336</v>
      </c>
      <c r="BL76">
        <v>1001870564</v>
      </c>
      <c r="BM76">
        <v>1019145355</v>
      </c>
      <c r="BN76">
        <v>1042703808</v>
      </c>
    </row>
    <row r="77" spans="1:66" x14ac:dyDescent="0.3">
      <c r="A77" t="s">
        <v>75</v>
      </c>
      <c r="B77" t="s">
        <v>76</v>
      </c>
      <c r="C77">
        <v>4429634</v>
      </c>
      <c r="D77">
        <v>4461005</v>
      </c>
      <c r="E77">
        <v>4491443</v>
      </c>
      <c r="F77">
        <v>4523309</v>
      </c>
      <c r="G77">
        <v>4548543</v>
      </c>
      <c r="H77">
        <v>4563732</v>
      </c>
      <c r="I77">
        <v>4580869</v>
      </c>
      <c r="J77">
        <v>4605744</v>
      </c>
      <c r="K77">
        <v>4626469</v>
      </c>
      <c r="L77">
        <v>4623785</v>
      </c>
      <c r="M77">
        <v>4606307</v>
      </c>
      <c r="N77">
        <v>4612124</v>
      </c>
      <c r="O77">
        <v>4639657</v>
      </c>
      <c r="P77">
        <v>4666081</v>
      </c>
      <c r="Q77">
        <v>4690574</v>
      </c>
      <c r="R77">
        <v>4711440</v>
      </c>
      <c r="S77">
        <v>4725664</v>
      </c>
      <c r="T77">
        <v>4738902</v>
      </c>
      <c r="U77">
        <v>4752528</v>
      </c>
      <c r="V77">
        <v>4764690</v>
      </c>
      <c r="W77">
        <v>4779535</v>
      </c>
      <c r="X77">
        <v>4799964</v>
      </c>
      <c r="Y77">
        <v>4826933</v>
      </c>
      <c r="Z77">
        <v>4855787</v>
      </c>
      <c r="AA77">
        <v>4881803</v>
      </c>
      <c r="AB77">
        <v>4902206</v>
      </c>
      <c r="AC77">
        <v>4918154</v>
      </c>
      <c r="AD77">
        <v>4932123</v>
      </c>
      <c r="AE77">
        <v>4946481</v>
      </c>
      <c r="AF77">
        <v>4964371</v>
      </c>
      <c r="AG77">
        <v>4986431</v>
      </c>
      <c r="AH77">
        <v>5013740</v>
      </c>
      <c r="AI77">
        <v>5041992</v>
      </c>
      <c r="AJ77">
        <v>5066447</v>
      </c>
      <c r="AK77">
        <v>5088333</v>
      </c>
      <c r="AL77">
        <v>5107790</v>
      </c>
      <c r="AM77">
        <v>5124573</v>
      </c>
      <c r="AN77">
        <v>5139835</v>
      </c>
      <c r="AO77">
        <v>5153498</v>
      </c>
      <c r="AP77">
        <v>5165474</v>
      </c>
      <c r="AQ77">
        <v>5176209</v>
      </c>
      <c r="AR77">
        <v>5188008</v>
      </c>
      <c r="AS77">
        <v>5200598</v>
      </c>
      <c r="AT77">
        <v>5213014</v>
      </c>
      <c r="AU77">
        <v>5228172</v>
      </c>
      <c r="AV77">
        <v>5246096</v>
      </c>
      <c r="AW77">
        <v>5266268</v>
      </c>
      <c r="AX77">
        <v>5288720</v>
      </c>
      <c r="AY77">
        <v>5313399</v>
      </c>
      <c r="AZ77">
        <v>5338871</v>
      </c>
      <c r="BA77">
        <v>5363352</v>
      </c>
      <c r="BB77">
        <v>5388272</v>
      </c>
      <c r="BC77">
        <v>5413971</v>
      </c>
      <c r="BD77">
        <v>5438972</v>
      </c>
      <c r="BE77">
        <v>5461512</v>
      </c>
      <c r="BF77">
        <v>5479531</v>
      </c>
      <c r="BG77">
        <v>5495303</v>
      </c>
      <c r="BH77">
        <v>5508214</v>
      </c>
      <c r="BI77">
        <v>5515525</v>
      </c>
      <c r="BJ77">
        <v>5521606</v>
      </c>
      <c r="BK77">
        <v>5529543</v>
      </c>
      <c r="BL77">
        <v>5541017</v>
      </c>
      <c r="BM77">
        <v>5556106</v>
      </c>
      <c r="BN77">
        <v>5584264</v>
      </c>
    </row>
    <row r="78" spans="1:66" x14ac:dyDescent="0.3">
      <c r="A78" t="s">
        <v>1132</v>
      </c>
      <c r="B78" t="s">
        <v>1330</v>
      </c>
      <c r="C78">
        <v>401841</v>
      </c>
      <c r="D78">
        <v>414534</v>
      </c>
      <c r="E78">
        <v>427695</v>
      </c>
      <c r="F78">
        <v>441385</v>
      </c>
      <c r="G78">
        <v>455214</v>
      </c>
      <c r="H78">
        <v>469010</v>
      </c>
      <c r="I78">
        <v>482358</v>
      </c>
      <c r="J78">
        <v>494632</v>
      </c>
      <c r="K78">
        <v>505979</v>
      </c>
      <c r="L78">
        <v>516952</v>
      </c>
      <c r="M78">
        <v>527634</v>
      </c>
      <c r="N78">
        <v>538000</v>
      </c>
      <c r="O78">
        <v>547918</v>
      </c>
      <c r="P78">
        <v>557244</v>
      </c>
      <c r="Q78">
        <v>566296</v>
      </c>
      <c r="R78">
        <v>575804</v>
      </c>
      <c r="S78">
        <v>586607</v>
      </c>
      <c r="T78">
        <v>599289</v>
      </c>
      <c r="U78">
        <v>613611</v>
      </c>
      <c r="V78">
        <v>628859</v>
      </c>
      <c r="W78">
        <v>644582</v>
      </c>
      <c r="X78">
        <v>660630</v>
      </c>
      <c r="Y78">
        <v>676967</v>
      </c>
      <c r="Z78">
        <v>693593</v>
      </c>
      <c r="AA78">
        <v>710561</v>
      </c>
      <c r="AB78">
        <v>727461</v>
      </c>
      <c r="AC78">
        <v>742658</v>
      </c>
      <c r="AD78">
        <v>754778</v>
      </c>
      <c r="AE78">
        <v>764370</v>
      </c>
      <c r="AF78">
        <v>772704</v>
      </c>
      <c r="AG78">
        <v>780430</v>
      </c>
      <c r="AH78">
        <v>784832</v>
      </c>
      <c r="AI78">
        <v>786859</v>
      </c>
      <c r="AJ78">
        <v>789198</v>
      </c>
      <c r="AK78">
        <v>790803</v>
      </c>
      <c r="AL78">
        <v>792246</v>
      </c>
      <c r="AM78">
        <v>796538</v>
      </c>
      <c r="AN78">
        <v>804572</v>
      </c>
      <c r="AO78">
        <v>813947</v>
      </c>
      <c r="AP78">
        <v>823422</v>
      </c>
      <c r="AQ78">
        <v>832509</v>
      </c>
      <c r="AR78">
        <v>841320</v>
      </c>
      <c r="AS78">
        <v>849891</v>
      </c>
      <c r="AT78">
        <v>858306</v>
      </c>
      <c r="AU78">
        <v>866694</v>
      </c>
      <c r="AV78">
        <v>874923</v>
      </c>
      <c r="AW78">
        <v>883083</v>
      </c>
      <c r="AX78">
        <v>890648</v>
      </c>
      <c r="AY78">
        <v>896731</v>
      </c>
      <c r="AZ78">
        <v>901383</v>
      </c>
      <c r="BA78">
        <v>905169</v>
      </c>
      <c r="BB78">
        <v>908355</v>
      </c>
      <c r="BC78">
        <v>911059</v>
      </c>
      <c r="BD78">
        <v>913453</v>
      </c>
      <c r="BE78">
        <v>915560</v>
      </c>
      <c r="BF78">
        <v>917200</v>
      </c>
      <c r="BG78">
        <v>918371</v>
      </c>
      <c r="BH78">
        <v>919019</v>
      </c>
      <c r="BI78">
        <v>918996</v>
      </c>
      <c r="BJ78">
        <v>918465</v>
      </c>
      <c r="BK78">
        <v>920422</v>
      </c>
      <c r="BL78">
        <v>924610</v>
      </c>
      <c r="BM78">
        <v>929766</v>
      </c>
      <c r="BN78">
        <v>936375</v>
      </c>
    </row>
    <row r="79" spans="1:66" x14ac:dyDescent="0.3">
      <c r="A79" t="s">
        <v>202</v>
      </c>
      <c r="B79" t="s">
        <v>203</v>
      </c>
      <c r="C79">
        <v>46649927</v>
      </c>
      <c r="D79">
        <v>47161641</v>
      </c>
      <c r="E79">
        <v>47679792</v>
      </c>
      <c r="F79">
        <v>48189939</v>
      </c>
      <c r="G79">
        <v>48733997</v>
      </c>
      <c r="H79">
        <v>49282756</v>
      </c>
      <c r="I79">
        <v>49817041</v>
      </c>
      <c r="J79">
        <v>50334012</v>
      </c>
      <c r="K79">
        <v>50817020</v>
      </c>
      <c r="L79">
        <v>51272683</v>
      </c>
      <c r="M79">
        <v>51724116</v>
      </c>
      <c r="N79">
        <v>52185222</v>
      </c>
      <c r="O79">
        <v>52637888</v>
      </c>
      <c r="P79">
        <v>53053660</v>
      </c>
      <c r="Q79">
        <v>53415250</v>
      </c>
      <c r="R79">
        <v>53715733</v>
      </c>
      <c r="S79">
        <v>53966558</v>
      </c>
      <c r="T79">
        <v>54221988</v>
      </c>
      <c r="U79">
        <v>54486195</v>
      </c>
      <c r="V79">
        <v>54753575</v>
      </c>
      <c r="W79">
        <v>55052582</v>
      </c>
      <c r="X79">
        <v>55371044</v>
      </c>
      <c r="Y79">
        <v>55694106</v>
      </c>
      <c r="Z79">
        <v>55992656</v>
      </c>
      <c r="AA79">
        <v>56275701</v>
      </c>
      <c r="AB79">
        <v>56569195</v>
      </c>
      <c r="AC79">
        <v>56865193</v>
      </c>
      <c r="AD79">
        <v>57168409</v>
      </c>
      <c r="AE79">
        <v>57472651</v>
      </c>
      <c r="AF79">
        <v>57766282</v>
      </c>
      <c r="AG79">
        <v>58044701</v>
      </c>
      <c r="AH79">
        <v>58557577</v>
      </c>
      <c r="AI79">
        <v>58849943</v>
      </c>
      <c r="AJ79">
        <v>59106166</v>
      </c>
      <c r="AK79">
        <v>59327585</v>
      </c>
      <c r="AL79">
        <v>59543659</v>
      </c>
      <c r="AM79">
        <v>59756533</v>
      </c>
      <c r="AN79">
        <v>59969944</v>
      </c>
      <c r="AO79">
        <v>60192790</v>
      </c>
      <c r="AP79">
        <v>60504420</v>
      </c>
      <c r="AQ79">
        <v>60921384</v>
      </c>
      <c r="AR79">
        <v>61367388</v>
      </c>
      <c r="AS79">
        <v>61816234</v>
      </c>
      <c r="AT79">
        <v>62256970</v>
      </c>
      <c r="AU79">
        <v>62716306</v>
      </c>
      <c r="AV79">
        <v>63188395</v>
      </c>
      <c r="AW79">
        <v>63628261</v>
      </c>
      <c r="AX79">
        <v>64021737</v>
      </c>
      <c r="AY79">
        <v>64379696</v>
      </c>
      <c r="AZ79">
        <v>64710879</v>
      </c>
      <c r="BA79">
        <v>65030575</v>
      </c>
      <c r="BB79">
        <v>65345233</v>
      </c>
      <c r="BC79">
        <v>65662240</v>
      </c>
      <c r="BD79">
        <v>66002289</v>
      </c>
      <c r="BE79">
        <v>66312067</v>
      </c>
      <c r="BF79">
        <v>66548272</v>
      </c>
      <c r="BG79">
        <v>66724104</v>
      </c>
      <c r="BH79">
        <v>66918020</v>
      </c>
      <c r="BI79">
        <v>67158348</v>
      </c>
      <c r="BJ79">
        <v>67388001</v>
      </c>
      <c r="BK79">
        <v>67571107</v>
      </c>
      <c r="BL79">
        <v>67764304</v>
      </c>
      <c r="BM79">
        <v>67971311</v>
      </c>
      <c r="BN79">
        <v>68170228</v>
      </c>
    </row>
    <row r="80" spans="1:66" x14ac:dyDescent="0.3">
      <c r="A80" t="s">
        <v>1331</v>
      </c>
      <c r="B80" t="s">
        <v>1332</v>
      </c>
      <c r="C80">
        <v>34154</v>
      </c>
      <c r="D80">
        <v>34572</v>
      </c>
      <c r="E80">
        <v>34963</v>
      </c>
      <c r="F80">
        <v>35385</v>
      </c>
      <c r="G80">
        <v>35841</v>
      </c>
      <c r="H80">
        <v>36346</v>
      </c>
      <c r="I80">
        <v>36825</v>
      </c>
      <c r="J80">
        <v>37234</v>
      </c>
      <c r="K80">
        <v>37630</v>
      </c>
      <c r="L80">
        <v>38011</v>
      </c>
      <c r="M80">
        <v>38416</v>
      </c>
      <c r="N80">
        <v>38861</v>
      </c>
      <c r="O80">
        <v>39304</v>
      </c>
      <c r="P80">
        <v>39746</v>
      </c>
      <c r="Q80">
        <v>40189</v>
      </c>
      <c r="R80">
        <v>40626</v>
      </c>
      <c r="S80">
        <v>41054</v>
      </c>
      <c r="T80">
        <v>41481</v>
      </c>
      <c r="U80">
        <v>41965</v>
      </c>
      <c r="V80">
        <v>42506</v>
      </c>
      <c r="W80">
        <v>43054</v>
      </c>
      <c r="X80">
        <v>43613</v>
      </c>
      <c r="Y80">
        <v>44164</v>
      </c>
      <c r="Z80">
        <v>44669</v>
      </c>
      <c r="AA80">
        <v>45135</v>
      </c>
      <c r="AB80">
        <v>45575</v>
      </c>
      <c r="AC80">
        <v>46011</v>
      </c>
      <c r="AD80">
        <v>46477</v>
      </c>
      <c r="AE80">
        <v>46959</v>
      </c>
      <c r="AF80">
        <v>47490</v>
      </c>
      <c r="AG80">
        <v>47479</v>
      </c>
      <c r="AH80">
        <v>46810</v>
      </c>
      <c r="AI80">
        <v>46005</v>
      </c>
      <c r="AJ80">
        <v>45096</v>
      </c>
      <c r="AK80">
        <v>44131</v>
      </c>
      <c r="AL80">
        <v>43805</v>
      </c>
      <c r="AM80">
        <v>44138</v>
      </c>
      <c r="AN80">
        <v>44495</v>
      </c>
      <c r="AO80">
        <v>44865</v>
      </c>
      <c r="AP80">
        <v>45203</v>
      </c>
      <c r="AQ80">
        <v>45660</v>
      </c>
      <c r="AR80">
        <v>46245</v>
      </c>
      <c r="AS80">
        <v>46813</v>
      </c>
      <c r="AT80">
        <v>47392</v>
      </c>
      <c r="AU80">
        <v>47989</v>
      </c>
      <c r="AV80">
        <v>48291</v>
      </c>
      <c r="AW80">
        <v>48313</v>
      </c>
      <c r="AX80">
        <v>48361</v>
      </c>
      <c r="AY80">
        <v>48411</v>
      </c>
      <c r="AZ80">
        <v>48429</v>
      </c>
      <c r="BA80">
        <v>48410</v>
      </c>
      <c r="BB80">
        <v>48386</v>
      </c>
      <c r="BC80">
        <v>48392</v>
      </c>
      <c r="BD80">
        <v>48418</v>
      </c>
      <c r="BE80">
        <v>48465</v>
      </c>
      <c r="BF80">
        <v>48816</v>
      </c>
      <c r="BG80">
        <v>49500</v>
      </c>
      <c r="BH80">
        <v>50230</v>
      </c>
      <c r="BI80">
        <v>50955</v>
      </c>
      <c r="BJ80">
        <v>51681</v>
      </c>
      <c r="BK80">
        <v>52415</v>
      </c>
      <c r="BL80">
        <v>52889</v>
      </c>
      <c r="BM80">
        <v>53090</v>
      </c>
      <c r="BN80">
        <v>53270</v>
      </c>
    </row>
    <row r="81" spans="1:66" x14ac:dyDescent="0.3">
      <c r="A81" t="s">
        <v>1333</v>
      </c>
      <c r="B81" t="s">
        <v>1135</v>
      </c>
      <c r="C81">
        <v>42986</v>
      </c>
      <c r="D81">
        <v>44563</v>
      </c>
      <c r="E81">
        <v>46200</v>
      </c>
      <c r="F81">
        <v>47758</v>
      </c>
      <c r="G81">
        <v>49231</v>
      </c>
      <c r="H81">
        <v>50759</v>
      </c>
      <c r="I81">
        <v>52346</v>
      </c>
      <c r="J81">
        <v>53940</v>
      </c>
      <c r="K81">
        <v>55553</v>
      </c>
      <c r="L81">
        <v>57236</v>
      </c>
      <c r="M81">
        <v>58989</v>
      </c>
      <c r="N81">
        <v>60673</v>
      </c>
      <c r="O81">
        <v>62265</v>
      </c>
      <c r="P81">
        <v>63889</v>
      </c>
      <c r="Q81">
        <v>65552</v>
      </c>
      <c r="R81">
        <v>67121</v>
      </c>
      <c r="S81">
        <v>68602</v>
      </c>
      <c r="T81">
        <v>70144</v>
      </c>
      <c r="U81">
        <v>71983</v>
      </c>
      <c r="V81">
        <v>74114</v>
      </c>
      <c r="W81">
        <v>76299</v>
      </c>
      <c r="X81">
        <v>78531</v>
      </c>
      <c r="Y81">
        <v>80816</v>
      </c>
      <c r="Z81">
        <v>83153</v>
      </c>
      <c r="AA81">
        <v>85543</v>
      </c>
      <c r="AB81">
        <v>87966</v>
      </c>
      <c r="AC81">
        <v>90397</v>
      </c>
      <c r="AD81">
        <v>92845</v>
      </c>
      <c r="AE81">
        <v>94987</v>
      </c>
      <c r="AF81">
        <v>96796</v>
      </c>
      <c r="AG81">
        <v>98603</v>
      </c>
      <c r="AH81">
        <v>100427</v>
      </c>
      <c r="AI81">
        <v>102893</v>
      </c>
      <c r="AJ81">
        <v>106030</v>
      </c>
      <c r="AK81">
        <v>108844</v>
      </c>
      <c r="AL81">
        <v>110328</v>
      </c>
      <c r="AM81">
        <v>110785</v>
      </c>
      <c r="AN81">
        <v>111133</v>
      </c>
      <c r="AO81">
        <v>111406</v>
      </c>
      <c r="AP81">
        <v>111539</v>
      </c>
      <c r="AQ81">
        <v>111709</v>
      </c>
      <c r="AR81">
        <v>111948</v>
      </c>
      <c r="AS81">
        <v>111992</v>
      </c>
      <c r="AT81">
        <v>111805</v>
      </c>
      <c r="AU81">
        <v>111438</v>
      </c>
      <c r="AV81">
        <v>110940</v>
      </c>
      <c r="AW81">
        <v>110301</v>
      </c>
      <c r="AX81">
        <v>109532</v>
      </c>
      <c r="AY81">
        <v>108704</v>
      </c>
      <c r="AZ81">
        <v>107868</v>
      </c>
      <c r="BA81">
        <v>107588</v>
      </c>
      <c r="BB81">
        <v>107887</v>
      </c>
      <c r="BC81">
        <v>108232</v>
      </c>
      <c r="BD81">
        <v>108609</v>
      </c>
      <c r="BE81">
        <v>109024</v>
      </c>
      <c r="BF81">
        <v>109462</v>
      </c>
      <c r="BG81">
        <v>109925</v>
      </c>
      <c r="BH81">
        <v>110430</v>
      </c>
      <c r="BI81">
        <v>110929</v>
      </c>
      <c r="BJ81">
        <v>111379</v>
      </c>
      <c r="BK81">
        <v>112106</v>
      </c>
      <c r="BL81">
        <v>113131</v>
      </c>
      <c r="BM81">
        <v>114164</v>
      </c>
      <c r="BN81">
        <v>115224</v>
      </c>
    </row>
    <row r="82" spans="1:66" x14ac:dyDescent="0.3">
      <c r="A82" t="s">
        <v>1138</v>
      </c>
      <c r="B82" t="s">
        <v>1137</v>
      </c>
      <c r="C82">
        <v>513340</v>
      </c>
      <c r="D82">
        <v>519329</v>
      </c>
      <c r="E82">
        <v>525754</v>
      </c>
      <c r="F82">
        <v>532592</v>
      </c>
      <c r="G82">
        <v>539830</v>
      </c>
      <c r="H82">
        <v>547535</v>
      </c>
      <c r="I82">
        <v>555748</v>
      </c>
      <c r="J82">
        <v>564436</v>
      </c>
      <c r="K82">
        <v>573611</v>
      </c>
      <c r="L82">
        <v>584628</v>
      </c>
      <c r="M82">
        <v>597192</v>
      </c>
      <c r="N82">
        <v>609693</v>
      </c>
      <c r="O82">
        <v>622289</v>
      </c>
      <c r="P82">
        <v>635288</v>
      </c>
      <c r="Q82">
        <v>648922</v>
      </c>
      <c r="R82">
        <v>663340</v>
      </c>
      <c r="S82">
        <v>678660</v>
      </c>
      <c r="T82">
        <v>694931</v>
      </c>
      <c r="U82">
        <v>712135</v>
      </c>
      <c r="V82">
        <v>730188</v>
      </c>
      <c r="W82">
        <v>749078</v>
      </c>
      <c r="X82">
        <v>768904</v>
      </c>
      <c r="Y82">
        <v>789585</v>
      </c>
      <c r="Z82">
        <v>811098</v>
      </c>
      <c r="AA82">
        <v>833417</v>
      </c>
      <c r="AB82">
        <v>856482</v>
      </c>
      <c r="AC82">
        <v>880340</v>
      </c>
      <c r="AD82">
        <v>905016</v>
      </c>
      <c r="AE82">
        <v>930464</v>
      </c>
      <c r="AF82">
        <v>956509</v>
      </c>
      <c r="AG82">
        <v>983028</v>
      </c>
      <c r="AH82">
        <v>1009995</v>
      </c>
      <c r="AI82">
        <v>1037446</v>
      </c>
      <c r="AJ82">
        <v>1065390</v>
      </c>
      <c r="AK82">
        <v>1093611</v>
      </c>
      <c r="AL82">
        <v>1121964</v>
      </c>
      <c r="AM82">
        <v>1150601</v>
      </c>
      <c r="AN82">
        <v>1179806</v>
      </c>
      <c r="AO82">
        <v>1209832</v>
      </c>
      <c r="AP82">
        <v>1240764</v>
      </c>
      <c r="AQ82">
        <v>1272935</v>
      </c>
      <c r="AR82">
        <v>1306590</v>
      </c>
      <c r="AS82">
        <v>1341696</v>
      </c>
      <c r="AT82">
        <v>1378398</v>
      </c>
      <c r="AU82">
        <v>1417110</v>
      </c>
      <c r="AV82">
        <v>1458353</v>
      </c>
      <c r="AW82">
        <v>1502534</v>
      </c>
      <c r="AX82">
        <v>1549774</v>
      </c>
      <c r="AY82">
        <v>1599978</v>
      </c>
      <c r="AZ82">
        <v>1653542</v>
      </c>
      <c r="BA82">
        <v>1711105</v>
      </c>
      <c r="BB82">
        <v>1772500</v>
      </c>
      <c r="BC82">
        <v>1836705</v>
      </c>
      <c r="BD82">
        <v>1902226</v>
      </c>
      <c r="BE82">
        <v>1966855</v>
      </c>
      <c r="BF82">
        <v>2028517</v>
      </c>
      <c r="BG82">
        <v>2086206</v>
      </c>
      <c r="BH82">
        <v>2140215</v>
      </c>
      <c r="BI82">
        <v>2192012</v>
      </c>
      <c r="BJ82">
        <v>2242785</v>
      </c>
      <c r="BK82">
        <v>2292573</v>
      </c>
      <c r="BL82">
        <v>2341179</v>
      </c>
      <c r="BM82">
        <v>2388992</v>
      </c>
      <c r="BN82">
        <v>2436566</v>
      </c>
    </row>
    <row r="83" spans="1:66" x14ac:dyDescent="0.3">
      <c r="A83" t="s">
        <v>1334</v>
      </c>
      <c r="B83" t="s">
        <v>770</v>
      </c>
      <c r="C83">
        <v>52400000</v>
      </c>
      <c r="D83">
        <v>52800000</v>
      </c>
      <c r="E83">
        <v>53250000</v>
      </c>
      <c r="F83">
        <v>53650000</v>
      </c>
      <c r="G83">
        <v>54000000</v>
      </c>
      <c r="H83">
        <v>54348050</v>
      </c>
      <c r="I83">
        <v>54648500</v>
      </c>
      <c r="J83">
        <v>54943600</v>
      </c>
      <c r="K83">
        <v>55211700</v>
      </c>
      <c r="L83">
        <v>55441750</v>
      </c>
      <c r="M83">
        <v>55663250</v>
      </c>
      <c r="N83">
        <v>55896223</v>
      </c>
      <c r="O83">
        <v>56086065</v>
      </c>
      <c r="P83">
        <v>56194527</v>
      </c>
      <c r="Q83">
        <v>56229974</v>
      </c>
      <c r="R83">
        <v>56225800</v>
      </c>
      <c r="S83">
        <v>56211968</v>
      </c>
      <c r="T83">
        <v>56193492</v>
      </c>
      <c r="U83">
        <v>56196504</v>
      </c>
      <c r="V83">
        <v>56246951</v>
      </c>
      <c r="W83">
        <v>56314216</v>
      </c>
      <c r="X83">
        <v>56333829</v>
      </c>
      <c r="Y83">
        <v>56313641</v>
      </c>
      <c r="Z83">
        <v>56332848</v>
      </c>
      <c r="AA83">
        <v>56422072</v>
      </c>
      <c r="AB83">
        <v>56550268</v>
      </c>
      <c r="AC83">
        <v>56681396</v>
      </c>
      <c r="AD83">
        <v>56802050</v>
      </c>
      <c r="AE83">
        <v>56928327</v>
      </c>
      <c r="AF83">
        <v>57076711</v>
      </c>
      <c r="AG83">
        <v>57247586</v>
      </c>
      <c r="AH83">
        <v>57424897</v>
      </c>
      <c r="AI83">
        <v>57580402</v>
      </c>
      <c r="AJ83">
        <v>57718614</v>
      </c>
      <c r="AK83">
        <v>57865745</v>
      </c>
      <c r="AL83">
        <v>58019030</v>
      </c>
      <c r="AM83">
        <v>58166950</v>
      </c>
      <c r="AN83">
        <v>58316954</v>
      </c>
      <c r="AO83">
        <v>58487141</v>
      </c>
      <c r="AP83">
        <v>58682466</v>
      </c>
      <c r="AQ83">
        <v>58892514</v>
      </c>
      <c r="AR83">
        <v>59119673</v>
      </c>
      <c r="AS83">
        <v>59370479</v>
      </c>
      <c r="AT83">
        <v>59647577</v>
      </c>
      <c r="AU83">
        <v>59987905</v>
      </c>
      <c r="AV83">
        <v>60401206</v>
      </c>
      <c r="AW83">
        <v>60846820</v>
      </c>
      <c r="AX83">
        <v>61322463</v>
      </c>
      <c r="AY83">
        <v>61806995</v>
      </c>
      <c r="AZ83">
        <v>62276270</v>
      </c>
      <c r="BA83">
        <v>62766365</v>
      </c>
      <c r="BB83">
        <v>63258810</v>
      </c>
      <c r="BC83">
        <v>63700215</v>
      </c>
      <c r="BD83">
        <v>64128273</v>
      </c>
      <c r="BE83">
        <v>64602298</v>
      </c>
      <c r="BF83">
        <v>65116219</v>
      </c>
      <c r="BG83">
        <v>65611593</v>
      </c>
      <c r="BH83">
        <v>66058859</v>
      </c>
      <c r="BI83">
        <v>66460344</v>
      </c>
      <c r="BJ83">
        <v>66836327</v>
      </c>
      <c r="BK83">
        <v>67081234</v>
      </c>
      <c r="BL83">
        <v>67026292</v>
      </c>
      <c r="BM83">
        <v>67791000</v>
      </c>
      <c r="BN83">
        <v>68350000</v>
      </c>
    </row>
    <row r="84" spans="1:66" x14ac:dyDescent="0.3">
      <c r="A84" t="s">
        <v>1146</v>
      </c>
      <c r="B84" t="s">
        <v>1145</v>
      </c>
      <c r="C84">
        <v>3645600</v>
      </c>
      <c r="D84">
        <v>3703600</v>
      </c>
      <c r="E84">
        <v>3760300</v>
      </c>
      <c r="F84">
        <v>3816100</v>
      </c>
      <c r="G84">
        <v>3870300</v>
      </c>
      <c r="H84">
        <v>3921600</v>
      </c>
      <c r="I84">
        <v>3966700</v>
      </c>
      <c r="J84">
        <v>4005800</v>
      </c>
      <c r="K84">
        <v>4042300</v>
      </c>
      <c r="L84">
        <v>4080300</v>
      </c>
      <c r="M84">
        <v>4119900</v>
      </c>
      <c r="N84">
        <v>4163000</v>
      </c>
      <c r="O84">
        <v>4205300</v>
      </c>
      <c r="P84">
        <v>4242500</v>
      </c>
      <c r="Q84">
        <v>4279500</v>
      </c>
      <c r="R84">
        <v>4311200</v>
      </c>
      <c r="S84">
        <v>4342400</v>
      </c>
      <c r="T84">
        <v>4372100</v>
      </c>
      <c r="U84">
        <v>4397700</v>
      </c>
      <c r="V84">
        <v>4430200</v>
      </c>
      <c r="W84">
        <v>4467700</v>
      </c>
      <c r="X84">
        <v>4504500</v>
      </c>
      <c r="Y84">
        <v>4542800</v>
      </c>
      <c r="Z84">
        <v>4582900</v>
      </c>
      <c r="AA84">
        <v>4622200</v>
      </c>
      <c r="AB84">
        <v>4662900</v>
      </c>
      <c r="AC84">
        <v>4704500</v>
      </c>
      <c r="AD84">
        <v>4743500</v>
      </c>
      <c r="AE84">
        <v>4790700</v>
      </c>
      <c r="AF84">
        <v>4803300</v>
      </c>
      <c r="AG84">
        <v>4802000</v>
      </c>
      <c r="AH84">
        <v>4835900</v>
      </c>
      <c r="AI84">
        <v>4873500</v>
      </c>
      <c r="AJ84">
        <v>4911100</v>
      </c>
      <c r="AK84">
        <v>4836076</v>
      </c>
      <c r="AL84">
        <v>4657722</v>
      </c>
      <c r="AM84">
        <v>4491699</v>
      </c>
      <c r="AN84">
        <v>4349913</v>
      </c>
      <c r="AO84">
        <v>4243607</v>
      </c>
      <c r="AP84">
        <v>4157192</v>
      </c>
      <c r="AQ84">
        <v>4077131</v>
      </c>
      <c r="AR84">
        <v>4014373</v>
      </c>
      <c r="AS84">
        <v>3978515</v>
      </c>
      <c r="AT84">
        <v>3951736</v>
      </c>
      <c r="AU84">
        <v>3927340</v>
      </c>
      <c r="AV84">
        <v>3902469</v>
      </c>
      <c r="AW84">
        <v>3880347</v>
      </c>
      <c r="AX84">
        <v>3860158</v>
      </c>
      <c r="AY84">
        <v>3848449</v>
      </c>
      <c r="AZ84">
        <v>3814419</v>
      </c>
      <c r="BA84">
        <v>3786695</v>
      </c>
      <c r="BB84">
        <v>3756441</v>
      </c>
      <c r="BC84">
        <v>3728874</v>
      </c>
      <c r="BD84">
        <v>3717668</v>
      </c>
      <c r="BE84">
        <v>3719414</v>
      </c>
      <c r="BF84">
        <v>3725276</v>
      </c>
      <c r="BG84">
        <v>3727505</v>
      </c>
      <c r="BH84">
        <v>3728004</v>
      </c>
      <c r="BI84">
        <v>3726549</v>
      </c>
      <c r="BJ84">
        <v>3720161</v>
      </c>
      <c r="BK84">
        <v>3722716</v>
      </c>
      <c r="BL84">
        <v>3708610</v>
      </c>
      <c r="BM84">
        <v>3712502</v>
      </c>
      <c r="BN84">
        <v>3760365</v>
      </c>
    </row>
    <row r="85" spans="1:66" x14ac:dyDescent="0.3">
      <c r="A85" t="s">
        <v>1151</v>
      </c>
      <c r="B85" t="s">
        <v>1150</v>
      </c>
      <c r="C85">
        <v>6911510</v>
      </c>
      <c r="D85">
        <v>7109029</v>
      </c>
      <c r="E85">
        <v>7281192</v>
      </c>
      <c r="F85">
        <v>7458243</v>
      </c>
      <c r="G85">
        <v>7640196</v>
      </c>
      <c r="H85">
        <v>7827726</v>
      </c>
      <c r="I85">
        <v>8019658</v>
      </c>
      <c r="J85">
        <v>8216086</v>
      </c>
      <c r="K85">
        <v>8418152</v>
      </c>
      <c r="L85">
        <v>8629855</v>
      </c>
      <c r="M85">
        <v>8861895</v>
      </c>
      <c r="N85">
        <v>9108878</v>
      </c>
      <c r="O85">
        <v>9365952</v>
      </c>
      <c r="P85">
        <v>9637197</v>
      </c>
      <c r="Q85">
        <v>9918979</v>
      </c>
      <c r="R85">
        <v>10209848</v>
      </c>
      <c r="S85">
        <v>10509006</v>
      </c>
      <c r="T85">
        <v>10825496</v>
      </c>
      <c r="U85">
        <v>11163230</v>
      </c>
      <c r="V85">
        <v>11515675</v>
      </c>
      <c r="W85">
        <v>11865246</v>
      </c>
      <c r="X85">
        <v>12212960</v>
      </c>
      <c r="Y85">
        <v>12584976</v>
      </c>
      <c r="Z85">
        <v>12984131</v>
      </c>
      <c r="AA85">
        <v>13342487</v>
      </c>
      <c r="AB85">
        <v>13651443</v>
      </c>
      <c r="AC85">
        <v>13971682</v>
      </c>
      <c r="AD85">
        <v>14310790</v>
      </c>
      <c r="AE85">
        <v>14671677</v>
      </c>
      <c r="AF85">
        <v>15052447</v>
      </c>
      <c r="AG85">
        <v>15446982</v>
      </c>
      <c r="AH85">
        <v>15843471</v>
      </c>
      <c r="AI85">
        <v>16241548</v>
      </c>
      <c r="AJ85">
        <v>16643633</v>
      </c>
      <c r="AK85">
        <v>17040854</v>
      </c>
      <c r="AL85">
        <v>17438874</v>
      </c>
      <c r="AM85">
        <v>17844010</v>
      </c>
      <c r="AN85">
        <v>18268040</v>
      </c>
      <c r="AO85">
        <v>18714708</v>
      </c>
      <c r="AP85">
        <v>19176791</v>
      </c>
      <c r="AQ85">
        <v>19665502</v>
      </c>
      <c r="AR85">
        <v>20195577</v>
      </c>
      <c r="AS85">
        <v>20758326</v>
      </c>
      <c r="AT85">
        <v>21329514</v>
      </c>
      <c r="AU85">
        <v>21906444</v>
      </c>
      <c r="AV85">
        <v>22496951</v>
      </c>
      <c r="AW85">
        <v>23098586</v>
      </c>
      <c r="AX85">
        <v>23708320</v>
      </c>
      <c r="AY85">
        <v>24326087</v>
      </c>
      <c r="AZ85">
        <v>24950762</v>
      </c>
      <c r="BA85">
        <v>25574719</v>
      </c>
      <c r="BB85">
        <v>26205941</v>
      </c>
      <c r="BC85">
        <v>26858762</v>
      </c>
      <c r="BD85">
        <v>27525597</v>
      </c>
      <c r="BE85">
        <v>28196358</v>
      </c>
      <c r="BF85">
        <v>28870939</v>
      </c>
      <c r="BG85">
        <v>29554303</v>
      </c>
      <c r="BH85">
        <v>30222262</v>
      </c>
      <c r="BI85">
        <v>30870641</v>
      </c>
      <c r="BJ85">
        <v>31522290</v>
      </c>
      <c r="BK85">
        <v>32180401</v>
      </c>
      <c r="BL85">
        <v>32833031</v>
      </c>
      <c r="BM85">
        <v>33475870</v>
      </c>
      <c r="BN85">
        <v>34121985</v>
      </c>
    </row>
    <row r="86" spans="1:66" x14ac:dyDescent="0.3">
      <c r="A86" t="s">
        <v>1335</v>
      </c>
      <c r="B86" t="s">
        <v>1336</v>
      </c>
      <c r="C86">
        <v>21822</v>
      </c>
      <c r="D86">
        <v>21907</v>
      </c>
      <c r="E86">
        <v>22249</v>
      </c>
      <c r="F86">
        <v>22796</v>
      </c>
      <c r="G86">
        <v>23347</v>
      </c>
      <c r="H86">
        <v>23910</v>
      </c>
      <c r="I86">
        <v>24477</v>
      </c>
      <c r="J86">
        <v>25047</v>
      </c>
      <c r="K86">
        <v>25610</v>
      </c>
      <c r="L86">
        <v>26162</v>
      </c>
      <c r="M86">
        <v>26685</v>
      </c>
      <c r="N86">
        <v>27069</v>
      </c>
      <c r="O86">
        <v>27323</v>
      </c>
      <c r="P86">
        <v>27558</v>
      </c>
      <c r="Q86">
        <v>27779</v>
      </c>
      <c r="R86">
        <v>27973</v>
      </c>
      <c r="S86">
        <v>28162</v>
      </c>
      <c r="T86">
        <v>28337</v>
      </c>
      <c r="U86">
        <v>28485</v>
      </c>
      <c r="V86">
        <v>28618</v>
      </c>
      <c r="W86">
        <v>28734</v>
      </c>
      <c r="X86">
        <v>28819</v>
      </c>
      <c r="Y86">
        <v>28863</v>
      </c>
      <c r="Z86">
        <v>28855</v>
      </c>
      <c r="AA86">
        <v>28788</v>
      </c>
      <c r="AB86">
        <v>28674</v>
      </c>
      <c r="AC86">
        <v>28506</v>
      </c>
      <c r="AD86">
        <v>28272</v>
      </c>
      <c r="AE86">
        <v>28000</v>
      </c>
      <c r="AF86">
        <v>27688</v>
      </c>
      <c r="AG86">
        <v>27317</v>
      </c>
      <c r="AH86">
        <v>26988</v>
      </c>
      <c r="AI86">
        <v>26945</v>
      </c>
      <c r="AJ86">
        <v>27118</v>
      </c>
      <c r="AK86">
        <v>27282</v>
      </c>
      <c r="AL86">
        <v>27412</v>
      </c>
      <c r="AM86">
        <v>27491</v>
      </c>
      <c r="AN86">
        <v>27564</v>
      </c>
      <c r="AO86">
        <v>27636</v>
      </c>
      <c r="AP86">
        <v>27695</v>
      </c>
      <c r="AQ86">
        <v>27741</v>
      </c>
      <c r="AR86">
        <v>27721</v>
      </c>
      <c r="AS86">
        <v>27892</v>
      </c>
      <c r="AT86">
        <v>28301</v>
      </c>
      <c r="AU86">
        <v>28716</v>
      </c>
      <c r="AV86">
        <v>29155</v>
      </c>
      <c r="AW86">
        <v>29587</v>
      </c>
      <c r="AX86">
        <v>29996</v>
      </c>
      <c r="AY86">
        <v>30398</v>
      </c>
      <c r="AZ86">
        <v>30819</v>
      </c>
      <c r="BA86">
        <v>31262</v>
      </c>
      <c r="BB86">
        <v>31701</v>
      </c>
      <c r="BC86">
        <v>32160</v>
      </c>
      <c r="BD86">
        <v>32411</v>
      </c>
      <c r="BE86">
        <v>32452</v>
      </c>
      <c r="BF86">
        <v>32520</v>
      </c>
      <c r="BG86">
        <v>32565</v>
      </c>
      <c r="BH86">
        <v>32602</v>
      </c>
      <c r="BI86">
        <v>32648</v>
      </c>
      <c r="BJ86">
        <v>32685</v>
      </c>
      <c r="BK86">
        <v>32709</v>
      </c>
      <c r="BL86">
        <v>32669</v>
      </c>
      <c r="BM86">
        <v>32649</v>
      </c>
      <c r="BN86">
        <v>32688</v>
      </c>
    </row>
    <row r="87" spans="1:66" x14ac:dyDescent="0.3">
      <c r="A87" t="s">
        <v>1158</v>
      </c>
      <c r="B87" t="s">
        <v>1337</v>
      </c>
      <c r="C87">
        <v>3516814</v>
      </c>
      <c r="D87">
        <v>3578631</v>
      </c>
      <c r="E87">
        <v>3642324</v>
      </c>
      <c r="F87">
        <v>3707945</v>
      </c>
      <c r="G87">
        <v>3775510</v>
      </c>
      <c r="H87">
        <v>3845074</v>
      </c>
      <c r="I87">
        <v>3916780</v>
      </c>
      <c r="J87">
        <v>3990760</v>
      </c>
      <c r="K87">
        <v>4067333</v>
      </c>
      <c r="L87">
        <v>4145194</v>
      </c>
      <c r="M87">
        <v>4222374</v>
      </c>
      <c r="N87">
        <v>4298087</v>
      </c>
      <c r="O87">
        <v>4372212</v>
      </c>
      <c r="P87">
        <v>4445207</v>
      </c>
      <c r="Q87">
        <v>4517073</v>
      </c>
      <c r="R87">
        <v>4588006</v>
      </c>
      <c r="S87">
        <v>4658743</v>
      </c>
      <c r="T87">
        <v>4730375</v>
      </c>
      <c r="U87">
        <v>4804926</v>
      </c>
      <c r="V87">
        <v>4885199</v>
      </c>
      <c r="W87">
        <v>4972609</v>
      </c>
      <c r="X87">
        <v>5067427</v>
      </c>
      <c r="Y87">
        <v>5170731</v>
      </c>
      <c r="Z87">
        <v>5282274</v>
      </c>
      <c r="AA87">
        <v>5402084</v>
      </c>
      <c r="AB87">
        <v>5531661</v>
      </c>
      <c r="AC87">
        <v>5671380</v>
      </c>
      <c r="AD87">
        <v>5820774</v>
      </c>
      <c r="AE87">
        <v>5977175</v>
      </c>
      <c r="AF87">
        <v>6136166</v>
      </c>
      <c r="AG87">
        <v>6354145</v>
      </c>
      <c r="AH87">
        <v>6615734</v>
      </c>
      <c r="AI87">
        <v>6832195</v>
      </c>
      <c r="AJ87">
        <v>7046097</v>
      </c>
      <c r="AK87">
        <v>7262112</v>
      </c>
      <c r="AL87">
        <v>7468347</v>
      </c>
      <c r="AM87">
        <v>7683115</v>
      </c>
      <c r="AN87">
        <v>7842806</v>
      </c>
      <c r="AO87">
        <v>7992545</v>
      </c>
      <c r="AP87">
        <v>8174897</v>
      </c>
      <c r="AQ87">
        <v>8336967</v>
      </c>
      <c r="AR87">
        <v>8445717</v>
      </c>
      <c r="AS87">
        <v>8577790</v>
      </c>
      <c r="AT87">
        <v>8772254</v>
      </c>
      <c r="AU87">
        <v>8961039</v>
      </c>
      <c r="AV87">
        <v>9140114</v>
      </c>
      <c r="AW87">
        <v>9330625</v>
      </c>
      <c r="AX87">
        <v>9547082</v>
      </c>
      <c r="AY87">
        <v>9779785</v>
      </c>
      <c r="AZ87">
        <v>10021323</v>
      </c>
      <c r="BA87">
        <v>10270728</v>
      </c>
      <c r="BB87">
        <v>10527712</v>
      </c>
      <c r="BC87">
        <v>10788692</v>
      </c>
      <c r="BD87">
        <v>11055430</v>
      </c>
      <c r="BE87">
        <v>11333365</v>
      </c>
      <c r="BF87">
        <v>11625998</v>
      </c>
      <c r="BG87">
        <v>11930985</v>
      </c>
      <c r="BH87">
        <v>12240789</v>
      </c>
      <c r="BI87">
        <v>12554864</v>
      </c>
      <c r="BJ87">
        <v>12877539</v>
      </c>
      <c r="BK87">
        <v>13205153</v>
      </c>
      <c r="BL87">
        <v>13531906</v>
      </c>
      <c r="BM87">
        <v>13859341</v>
      </c>
      <c r="BN87">
        <v>14190612</v>
      </c>
    </row>
    <row r="88" spans="1:66" x14ac:dyDescent="0.3">
      <c r="A88" t="s">
        <v>1338</v>
      </c>
      <c r="B88" t="s">
        <v>1339</v>
      </c>
      <c r="C88">
        <v>399649</v>
      </c>
      <c r="D88">
        <v>410801</v>
      </c>
      <c r="E88">
        <v>422310</v>
      </c>
      <c r="F88">
        <v>434173</v>
      </c>
      <c r="G88">
        <v>446375</v>
      </c>
      <c r="H88">
        <v>458908</v>
      </c>
      <c r="I88">
        <v>471753</v>
      </c>
      <c r="J88">
        <v>485132</v>
      </c>
      <c r="K88">
        <v>499151</v>
      </c>
      <c r="L88">
        <v>513686</v>
      </c>
      <c r="M88">
        <v>528731</v>
      </c>
      <c r="N88">
        <v>544317</v>
      </c>
      <c r="O88">
        <v>560553</v>
      </c>
      <c r="P88">
        <v>577488</v>
      </c>
      <c r="Q88">
        <v>594904</v>
      </c>
      <c r="R88">
        <v>612909</v>
      </c>
      <c r="S88">
        <v>631894</v>
      </c>
      <c r="T88">
        <v>651934</v>
      </c>
      <c r="U88">
        <v>672974</v>
      </c>
      <c r="V88">
        <v>695155</v>
      </c>
      <c r="W88">
        <v>718586</v>
      </c>
      <c r="X88">
        <v>742846</v>
      </c>
      <c r="Y88">
        <v>768272</v>
      </c>
      <c r="Z88">
        <v>795563</v>
      </c>
      <c r="AA88">
        <v>824798</v>
      </c>
      <c r="AB88">
        <v>855958</v>
      </c>
      <c r="AC88">
        <v>888980</v>
      </c>
      <c r="AD88">
        <v>923914</v>
      </c>
      <c r="AE88">
        <v>960837</v>
      </c>
      <c r="AF88">
        <v>999732</v>
      </c>
      <c r="AG88">
        <v>1040616</v>
      </c>
      <c r="AH88">
        <v>1083536</v>
      </c>
      <c r="AI88">
        <v>1127152</v>
      </c>
      <c r="AJ88">
        <v>1168309</v>
      </c>
      <c r="AK88">
        <v>1205882</v>
      </c>
      <c r="AL88">
        <v>1242155</v>
      </c>
      <c r="AM88">
        <v>1279070</v>
      </c>
      <c r="AN88">
        <v>1317002</v>
      </c>
      <c r="AO88">
        <v>1356189</v>
      </c>
      <c r="AP88">
        <v>1396499</v>
      </c>
      <c r="AQ88">
        <v>1437539</v>
      </c>
      <c r="AR88">
        <v>1479449</v>
      </c>
      <c r="AS88">
        <v>1522223</v>
      </c>
      <c r="AT88">
        <v>1566257</v>
      </c>
      <c r="AU88">
        <v>1612225</v>
      </c>
      <c r="AV88">
        <v>1660368</v>
      </c>
      <c r="AW88">
        <v>1711294</v>
      </c>
      <c r="AX88">
        <v>1764883</v>
      </c>
      <c r="AY88">
        <v>1820542</v>
      </c>
      <c r="AZ88">
        <v>1878119</v>
      </c>
      <c r="BA88">
        <v>1937275</v>
      </c>
      <c r="BB88">
        <v>1998212</v>
      </c>
      <c r="BC88">
        <v>2061014</v>
      </c>
      <c r="BD88">
        <v>2124869</v>
      </c>
      <c r="BE88">
        <v>2189019</v>
      </c>
      <c r="BF88">
        <v>2253133</v>
      </c>
      <c r="BG88">
        <v>2317206</v>
      </c>
      <c r="BH88">
        <v>2381182</v>
      </c>
      <c r="BI88">
        <v>2444916</v>
      </c>
      <c r="BJ88">
        <v>2508883</v>
      </c>
      <c r="BK88">
        <v>2573995</v>
      </c>
      <c r="BL88">
        <v>2639916</v>
      </c>
      <c r="BM88">
        <v>2705992</v>
      </c>
      <c r="BN88">
        <v>2773168</v>
      </c>
    </row>
    <row r="89" spans="1:66" x14ac:dyDescent="0.3">
      <c r="A89" t="s">
        <v>1143</v>
      </c>
      <c r="B89" t="s">
        <v>1340</v>
      </c>
      <c r="C89">
        <v>577933</v>
      </c>
      <c r="D89">
        <v>583107</v>
      </c>
      <c r="E89">
        <v>590399</v>
      </c>
      <c r="F89">
        <v>595802</v>
      </c>
      <c r="G89">
        <v>590481</v>
      </c>
      <c r="H89">
        <v>577638</v>
      </c>
      <c r="I89">
        <v>570375</v>
      </c>
      <c r="J89">
        <v>573380</v>
      </c>
      <c r="K89">
        <v>583475</v>
      </c>
      <c r="L89">
        <v>587880</v>
      </c>
      <c r="M89">
        <v>591663</v>
      </c>
      <c r="N89">
        <v>594501</v>
      </c>
      <c r="O89">
        <v>595950</v>
      </c>
      <c r="P89">
        <v>603203</v>
      </c>
      <c r="Q89">
        <v>623576</v>
      </c>
      <c r="R89">
        <v>659635</v>
      </c>
      <c r="S89">
        <v>701016</v>
      </c>
      <c r="T89">
        <v>746588</v>
      </c>
      <c r="U89">
        <v>794328</v>
      </c>
      <c r="V89">
        <v>821598</v>
      </c>
      <c r="W89">
        <v>831462</v>
      </c>
      <c r="X89">
        <v>844957</v>
      </c>
      <c r="Y89">
        <v>858630</v>
      </c>
      <c r="Z89">
        <v>872394</v>
      </c>
      <c r="AA89">
        <v>886210</v>
      </c>
      <c r="AB89">
        <v>900088</v>
      </c>
      <c r="AC89">
        <v>914122</v>
      </c>
      <c r="AD89">
        <v>928408</v>
      </c>
      <c r="AE89">
        <v>943080</v>
      </c>
      <c r="AF89">
        <v>958239</v>
      </c>
      <c r="AG89">
        <v>973551</v>
      </c>
      <c r="AH89">
        <v>993856</v>
      </c>
      <c r="AI89">
        <v>1022904</v>
      </c>
      <c r="AJ89">
        <v>1056761</v>
      </c>
      <c r="AK89">
        <v>1089617</v>
      </c>
      <c r="AL89">
        <v>1117222</v>
      </c>
      <c r="AM89">
        <v>1140604</v>
      </c>
      <c r="AN89">
        <v>1162443</v>
      </c>
      <c r="AO89">
        <v>1184071</v>
      </c>
      <c r="AP89">
        <v>1206474</v>
      </c>
      <c r="AQ89">
        <v>1230849</v>
      </c>
      <c r="AR89">
        <v>1257380</v>
      </c>
      <c r="AS89">
        <v>1285678</v>
      </c>
      <c r="AT89">
        <v>1315653</v>
      </c>
      <c r="AU89">
        <v>1347009</v>
      </c>
      <c r="AV89">
        <v>1379713</v>
      </c>
      <c r="AW89">
        <v>1414091</v>
      </c>
      <c r="AX89">
        <v>1450572</v>
      </c>
      <c r="AY89">
        <v>1488431</v>
      </c>
      <c r="AZ89">
        <v>1527196</v>
      </c>
      <c r="BA89">
        <v>1567220</v>
      </c>
      <c r="BB89">
        <v>1609017</v>
      </c>
      <c r="BC89">
        <v>1652717</v>
      </c>
      <c r="BD89">
        <v>1697753</v>
      </c>
      <c r="BE89">
        <v>1743309</v>
      </c>
      <c r="BF89">
        <v>1788919</v>
      </c>
      <c r="BG89">
        <v>1834552</v>
      </c>
      <c r="BH89">
        <v>1879826</v>
      </c>
      <c r="BI89">
        <v>1924955</v>
      </c>
      <c r="BJ89">
        <v>1970457</v>
      </c>
      <c r="BK89">
        <v>2015828</v>
      </c>
      <c r="BL89">
        <v>2060721</v>
      </c>
      <c r="BM89">
        <v>2105566</v>
      </c>
      <c r="BN89">
        <v>2150842</v>
      </c>
    </row>
    <row r="90" spans="1:66" x14ac:dyDescent="0.3">
      <c r="A90" t="s">
        <v>1148</v>
      </c>
      <c r="B90" t="s">
        <v>1341</v>
      </c>
      <c r="C90">
        <v>267351</v>
      </c>
      <c r="D90">
        <v>272264</v>
      </c>
      <c r="E90">
        <v>277490</v>
      </c>
      <c r="F90">
        <v>283018</v>
      </c>
      <c r="G90">
        <v>288852</v>
      </c>
      <c r="H90">
        <v>295010</v>
      </c>
      <c r="I90">
        <v>301517</v>
      </c>
      <c r="J90">
        <v>308374</v>
      </c>
      <c r="K90">
        <v>315325</v>
      </c>
      <c r="L90">
        <v>318846</v>
      </c>
      <c r="M90">
        <v>316955</v>
      </c>
      <c r="N90">
        <v>311952</v>
      </c>
      <c r="O90">
        <v>305362</v>
      </c>
      <c r="P90">
        <v>298050</v>
      </c>
      <c r="Q90">
        <v>290558</v>
      </c>
      <c r="R90">
        <v>283262</v>
      </c>
      <c r="S90">
        <v>276000</v>
      </c>
      <c r="T90">
        <v>271377</v>
      </c>
      <c r="U90">
        <v>270866</v>
      </c>
      <c r="V90">
        <v>273925</v>
      </c>
      <c r="W90">
        <v>282509</v>
      </c>
      <c r="X90">
        <v>296950</v>
      </c>
      <c r="Y90">
        <v>315741</v>
      </c>
      <c r="Z90">
        <v>336744</v>
      </c>
      <c r="AA90">
        <v>357995</v>
      </c>
      <c r="AB90">
        <v>378379</v>
      </c>
      <c r="AC90">
        <v>397276</v>
      </c>
      <c r="AD90">
        <v>414769</v>
      </c>
      <c r="AE90">
        <v>431587</v>
      </c>
      <c r="AF90">
        <v>448420</v>
      </c>
      <c r="AG90">
        <v>465549</v>
      </c>
      <c r="AH90">
        <v>483142</v>
      </c>
      <c r="AI90">
        <v>501334</v>
      </c>
      <c r="AJ90">
        <v>520236</v>
      </c>
      <c r="AK90">
        <v>539992</v>
      </c>
      <c r="AL90">
        <v>560740</v>
      </c>
      <c r="AM90">
        <v>582573</v>
      </c>
      <c r="AN90">
        <v>605570</v>
      </c>
      <c r="AO90">
        <v>629734</v>
      </c>
      <c r="AP90">
        <v>655029</v>
      </c>
      <c r="AQ90">
        <v>684977</v>
      </c>
      <c r="AR90">
        <v>719270</v>
      </c>
      <c r="AS90">
        <v>754115</v>
      </c>
      <c r="AT90">
        <v>789681</v>
      </c>
      <c r="AU90">
        <v>826355</v>
      </c>
      <c r="AV90">
        <v>864726</v>
      </c>
      <c r="AW90">
        <v>905418</v>
      </c>
      <c r="AX90">
        <v>948814</v>
      </c>
      <c r="AY90">
        <v>994971</v>
      </c>
      <c r="AZ90">
        <v>1043686</v>
      </c>
      <c r="BA90">
        <v>1094524</v>
      </c>
      <c r="BB90">
        <v>1144588</v>
      </c>
      <c r="BC90">
        <v>1193636</v>
      </c>
      <c r="BD90">
        <v>1243941</v>
      </c>
      <c r="BE90">
        <v>1295183</v>
      </c>
      <c r="BF90">
        <v>1346973</v>
      </c>
      <c r="BG90">
        <v>1398927</v>
      </c>
      <c r="BH90">
        <v>1450694</v>
      </c>
      <c r="BI90">
        <v>1502091</v>
      </c>
      <c r="BJ90">
        <v>1553031</v>
      </c>
      <c r="BK90">
        <v>1596049</v>
      </c>
      <c r="BL90">
        <v>1634466</v>
      </c>
      <c r="BM90">
        <v>1674908</v>
      </c>
      <c r="BN90">
        <v>1714671</v>
      </c>
    </row>
    <row r="91" spans="1:66" x14ac:dyDescent="0.3">
      <c r="A91" t="s">
        <v>1104</v>
      </c>
      <c r="B91" t="s">
        <v>1342</v>
      </c>
      <c r="C91">
        <v>8331725</v>
      </c>
      <c r="D91">
        <v>8398050</v>
      </c>
      <c r="E91">
        <v>8448233</v>
      </c>
      <c r="F91">
        <v>8479625</v>
      </c>
      <c r="G91">
        <v>8510429</v>
      </c>
      <c r="H91">
        <v>8550333</v>
      </c>
      <c r="I91">
        <v>8613651</v>
      </c>
      <c r="J91">
        <v>8684088</v>
      </c>
      <c r="K91">
        <v>8740765</v>
      </c>
      <c r="L91">
        <v>8772764</v>
      </c>
      <c r="M91">
        <v>8792806</v>
      </c>
      <c r="N91">
        <v>8831036</v>
      </c>
      <c r="O91">
        <v>8888628</v>
      </c>
      <c r="P91">
        <v>8929086</v>
      </c>
      <c r="Q91">
        <v>8962022</v>
      </c>
      <c r="R91">
        <v>9046541</v>
      </c>
      <c r="S91">
        <v>9188150</v>
      </c>
      <c r="T91">
        <v>9308479</v>
      </c>
      <c r="U91">
        <v>9429959</v>
      </c>
      <c r="V91">
        <v>9548258</v>
      </c>
      <c r="W91">
        <v>9642505</v>
      </c>
      <c r="X91">
        <v>9729350</v>
      </c>
      <c r="Y91">
        <v>9789513</v>
      </c>
      <c r="Z91">
        <v>9846627</v>
      </c>
      <c r="AA91">
        <v>9895801</v>
      </c>
      <c r="AB91">
        <v>9934300</v>
      </c>
      <c r="AC91">
        <v>9967213</v>
      </c>
      <c r="AD91">
        <v>10000595</v>
      </c>
      <c r="AE91">
        <v>10036983</v>
      </c>
      <c r="AF91">
        <v>10089498</v>
      </c>
      <c r="AG91">
        <v>10196792</v>
      </c>
      <c r="AH91">
        <v>10319927</v>
      </c>
      <c r="AI91">
        <v>10399061</v>
      </c>
      <c r="AJ91">
        <v>10460415</v>
      </c>
      <c r="AK91">
        <v>10512922</v>
      </c>
      <c r="AL91">
        <v>10562153</v>
      </c>
      <c r="AM91">
        <v>10608800</v>
      </c>
      <c r="AN91">
        <v>10661259</v>
      </c>
      <c r="AO91">
        <v>10720509</v>
      </c>
      <c r="AP91">
        <v>10761698</v>
      </c>
      <c r="AQ91">
        <v>10805808</v>
      </c>
      <c r="AR91">
        <v>10862132</v>
      </c>
      <c r="AS91">
        <v>10902022</v>
      </c>
      <c r="AT91">
        <v>10928070</v>
      </c>
      <c r="AU91">
        <v>10955141</v>
      </c>
      <c r="AV91">
        <v>10987314</v>
      </c>
      <c r="AW91">
        <v>11020362</v>
      </c>
      <c r="AX91">
        <v>11048473</v>
      </c>
      <c r="AY91">
        <v>11077841</v>
      </c>
      <c r="AZ91">
        <v>11107017</v>
      </c>
      <c r="BA91">
        <v>11121341</v>
      </c>
      <c r="BB91">
        <v>11104899</v>
      </c>
      <c r="BC91">
        <v>11045011</v>
      </c>
      <c r="BD91">
        <v>10965211</v>
      </c>
      <c r="BE91">
        <v>10892413</v>
      </c>
      <c r="BF91">
        <v>10820883</v>
      </c>
      <c r="BG91">
        <v>10775971</v>
      </c>
      <c r="BH91">
        <v>10754679</v>
      </c>
      <c r="BI91">
        <v>10732882</v>
      </c>
      <c r="BJ91">
        <v>10721582</v>
      </c>
      <c r="BK91">
        <v>10698599</v>
      </c>
      <c r="BL91">
        <v>10569207</v>
      </c>
      <c r="BM91">
        <v>10426919</v>
      </c>
      <c r="BN91">
        <v>10361295</v>
      </c>
    </row>
    <row r="92" spans="1:66" x14ac:dyDescent="0.3">
      <c r="A92" t="s">
        <v>1154</v>
      </c>
      <c r="B92" t="s">
        <v>1343</v>
      </c>
      <c r="C92">
        <v>93772</v>
      </c>
      <c r="D92">
        <v>95096</v>
      </c>
      <c r="E92">
        <v>96052</v>
      </c>
      <c r="F92">
        <v>96882</v>
      </c>
      <c r="G92">
        <v>97613</v>
      </c>
      <c r="H92">
        <v>98226</v>
      </c>
      <c r="I92">
        <v>98692</v>
      </c>
      <c r="J92">
        <v>98977</v>
      </c>
      <c r="K92">
        <v>99056</v>
      </c>
      <c r="L92">
        <v>98975</v>
      </c>
      <c r="M92">
        <v>98794</v>
      </c>
      <c r="N92">
        <v>98535</v>
      </c>
      <c r="O92">
        <v>98225</v>
      </c>
      <c r="P92">
        <v>97886</v>
      </c>
      <c r="Q92">
        <v>97528</v>
      </c>
      <c r="R92">
        <v>97165</v>
      </c>
      <c r="S92">
        <v>96781</v>
      </c>
      <c r="T92">
        <v>96329</v>
      </c>
      <c r="U92">
        <v>95811</v>
      </c>
      <c r="V92">
        <v>95242</v>
      </c>
      <c r="W92">
        <v>94838</v>
      </c>
      <c r="X92">
        <v>95222</v>
      </c>
      <c r="Y92">
        <v>96534</v>
      </c>
      <c r="Z92">
        <v>98177</v>
      </c>
      <c r="AA92">
        <v>99618</v>
      </c>
      <c r="AB92">
        <v>100576</v>
      </c>
      <c r="AC92">
        <v>100893</v>
      </c>
      <c r="AD92">
        <v>100599</v>
      </c>
      <c r="AE92">
        <v>99877</v>
      </c>
      <c r="AF92">
        <v>99224</v>
      </c>
      <c r="AG92">
        <v>99047</v>
      </c>
      <c r="AH92">
        <v>99758</v>
      </c>
      <c r="AI92">
        <v>101040</v>
      </c>
      <c r="AJ92">
        <v>102173</v>
      </c>
      <c r="AK92">
        <v>103174</v>
      </c>
      <c r="AL92">
        <v>104060</v>
      </c>
      <c r="AM92">
        <v>104846</v>
      </c>
      <c r="AN92">
        <v>105549</v>
      </c>
      <c r="AO92">
        <v>106200</v>
      </c>
      <c r="AP92">
        <v>106823</v>
      </c>
      <c r="AQ92">
        <v>107432</v>
      </c>
      <c r="AR92">
        <v>107936</v>
      </c>
      <c r="AS92">
        <v>108231</v>
      </c>
      <c r="AT92">
        <v>108740</v>
      </c>
      <c r="AU92">
        <v>109516</v>
      </c>
      <c r="AV92">
        <v>110254</v>
      </c>
      <c r="AW92">
        <v>110988</v>
      </c>
      <c r="AX92">
        <v>111725</v>
      </c>
      <c r="AY92">
        <v>112478</v>
      </c>
      <c r="AZ92">
        <v>113249</v>
      </c>
      <c r="BA92">
        <v>114039</v>
      </c>
      <c r="BB92">
        <v>114918</v>
      </c>
      <c r="BC92">
        <v>115912</v>
      </c>
      <c r="BD92">
        <v>116945</v>
      </c>
      <c r="BE92">
        <v>117972</v>
      </c>
      <c r="BF92">
        <v>118980</v>
      </c>
      <c r="BG92">
        <v>119966</v>
      </c>
      <c r="BH92">
        <v>120921</v>
      </c>
      <c r="BI92">
        <v>121838</v>
      </c>
      <c r="BJ92">
        <v>122724</v>
      </c>
      <c r="BK92">
        <v>123663</v>
      </c>
      <c r="BL92">
        <v>124610</v>
      </c>
      <c r="BM92">
        <v>125438</v>
      </c>
      <c r="BN92">
        <v>126183</v>
      </c>
    </row>
    <row r="93" spans="1:66" x14ac:dyDescent="0.3">
      <c r="A93" t="s">
        <v>1344</v>
      </c>
      <c r="B93" t="s">
        <v>1345</v>
      </c>
      <c r="C93">
        <v>32500</v>
      </c>
      <c r="D93">
        <v>33700</v>
      </c>
      <c r="E93">
        <v>35000</v>
      </c>
      <c r="F93">
        <v>36400</v>
      </c>
      <c r="G93">
        <v>37600</v>
      </c>
      <c r="H93">
        <v>39200</v>
      </c>
      <c r="I93">
        <v>40500</v>
      </c>
      <c r="J93">
        <v>41900</v>
      </c>
      <c r="K93">
        <v>43400</v>
      </c>
      <c r="L93">
        <v>44900</v>
      </c>
      <c r="M93">
        <v>46400</v>
      </c>
      <c r="N93">
        <v>47200</v>
      </c>
      <c r="O93">
        <v>48300</v>
      </c>
      <c r="P93">
        <v>49000</v>
      </c>
      <c r="Q93">
        <v>49500</v>
      </c>
      <c r="R93">
        <v>49600</v>
      </c>
      <c r="S93">
        <v>49700</v>
      </c>
      <c r="T93">
        <v>49400</v>
      </c>
      <c r="U93">
        <v>49200</v>
      </c>
      <c r="V93">
        <v>49600</v>
      </c>
      <c r="W93">
        <v>50200</v>
      </c>
      <c r="X93">
        <v>51000</v>
      </c>
      <c r="Y93">
        <v>51500</v>
      </c>
      <c r="Z93">
        <v>52100</v>
      </c>
      <c r="AA93">
        <v>52700</v>
      </c>
      <c r="AB93">
        <v>53200</v>
      </c>
      <c r="AC93">
        <v>53500</v>
      </c>
      <c r="AD93">
        <v>54100</v>
      </c>
      <c r="AE93">
        <v>54800</v>
      </c>
      <c r="AF93">
        <v>55300</v>
      </c>
      <c r="AG93">
        <v>55600</v>
      </c>
      <c r="AH93">
        <v>55500</v>
      </c>
      <c r="AI93">
        <v>55300</v>
      </c>
      <c r="AJ93">
        <v>55200</v>
      </c>
      <c r="AK93">
        <v>55500</v>
      </c>
      <c r="AL93">
        <v>55800</v>
      </c>
      <c r="AM93">
        <v>55900</v>
      </c>
      <c r="AN93">
        <v>56000</v>
      </c>
      <c r="AO93">
        <v>56100</v>
      </c>
      <c r="AP93">
        <v>56100</v>
      </c>
      <c r="AQ93">
        <v>56200</v>
      </c>
      <c r="AR93">
        <v>56350</v>
      </c>
      <c r="AS93">
        <v>56609</v>
      </c>
      <c r="AT93">
        <v>56765</v>
      </c>
      <c r="AU93">
        <v>56911</v>
      </c>
      <c r="AV93">
        <v>56935</v>
      </c>
      <c r="AW93">
        <v>56774</v>
      </c>
      <c r="AX93">
        <v>56555</v>
      </c>
      <c r="AY93">
        <v>56328</v>
      </c>
      <c r="AZ93">
        <v>56323</v>
      </c>
      <c r="BA93">
        <v>56905</v>
      </c>
      <c r="BB93">
        <v>56890</v>
      </c>
      <c r="BC93">
        <v>56810</v>
      </c>
      <c r="BD93">
        <v>56483</v>
      </c>
      <c r="BE93">
        <v>56295</v>
      </c>
      <c r="BF93">
        <v>56114</v>
      </c>
      <c r="BG93">
        <v>56186</v>
      </c>
      <c r="BH93">
        <v>56172</v>
      </c>
      <c r="BI93">
        <v>56023</v>
      </c>
      <c r="BJ93">
        <v>56225</v>
      </c>
      <c r="BK93">
        <v>56367</v>
      </c>
      <c r="BL93">
        <v>56653</v>
      </c>
      <c r="BM93">
        <v>56661</v>
      </c>
      <c r="BN93">
        <v>56865</v>
      </c>
    </row>
    <row r="94" spans="1:66" x14ac:dyDescent="0.3">
      <c r="A94" t="s">
        <v>1156</v>
      </c>
      <c r="B94" t="s">
        <v>1346</v>
      </c>
      <c r="C94">
        <v>4128880</v>
      </c>
      <c r="D94">
        <v>4251911</v>
      </c>
      <c r="E94">
        <v>4378604</v>
      </c>
      <c r="F94">
        <v>4508444</v>
      </c>
      <c r="G94">
        <v>4640795</v>
      </c>
      <c r="H94">
        <v>4774984</v>
      </c>
      <c r="I94">
        <v>4910790</v>
      </c>
      <c r="J94">
        <v>5047435</v>
      </c>
      <c r="K94">
        <v>5184095</v>
      </c>
      <c r="L94">
        <v>5320100</v>
      </c>
      <c r="M94">
        <v>5455197</v>
      </c>
      <c r="N94">
        <v>5589563</v>
      </c>
      <c r="O94">
        <v>5723759</v>
      </c>
      <c r="P94">
        <v>5858466</v>
      </c>
      <c r="Q94">
        <v>5994300</v>
      </c>
      <c r="R94">
        <v>6131151</v>
      </c>
      <c r="S94">
        <v>6269983</v>
      </c>
      <c r="T94">
        <v>6412667</v>
      </c>
      <c r="U94">
        <v>6561919</v>
      </c>
      <c r="V94">
        <v>6720582</v>
      </c>
      <c r="W94">
        <v>6890346</v>
      </c>
      <c r="X94">
        <v>7071186</v>
      </c>
      <c r="Y94">
        <v>7262658</v>
      </c>
      <c r="Z94">
        <v>7462585</v>
      </c>
      <c r="AA94">
        <v>7669863</v>
      </c>
      <c r="AB94">
        <v>7884034</v>
      </c>
      <c r="AC94">
        <v>8104921</v>
      </c>
      <c r="AD94">
        <v>8332446</v>
      </c>
      <c r="AE94">
        <v>8566331</v>
      </c>
      <c r="AF94">
        <v>8805995</v>
      </c>
      <c r="AG94">
        <v>9050115</v>
      </c>
      <c r="AH94">
        <v>9296814</v>
      </c>
      <c r="AI94">
        <v>9544055</v>
      </c>
      <c r="AJ94">
        <v>9790619</v>
      </c>
      <c r="AK94">
        <v>10037522</v>
      </c>
      <c r="AL94">
        <v>10286786</v>
      </c>
      <c r="AM94">
        <v>10536942</v>
      </c>
      <c r="AN94">
        <v>10788362</v>
      </c>
      <c r="AO94">
        <v>11046215</v>
      </c>
      <c r="AP94">
        <v>11311078</v>
      </c>
      <c r="AQ94">
        <v>11589761</v>
      </c>
      <c r="AR94">
        <v>11871565</v>
      </c>
      <c r="AS94">
        <v>12147518</v>
      </c>
      <c r="AT94">
        <v>12415334</v>
      </c>
      <c r="AU94">
        <v>12682108</v>
      </c>
      <c r="AV94">
        <v>12948292</v>
      </c>
      <c r="AW94">
        <v>13213330</v>
      </c>
      <c r="AX94">
        <v>13477017</v>
      </c>
      <c r="AY94">
        <v>13739299</v>
      </c>
      <c r="AZ94">
        <v>14000190</v>
      </c>
      <c r="BA94">
        <v>14259687</v>
      </c>
      <c r="BB94">
        <v>14521515</v>
      </c>
      <c r="BC94">
        <v>14781942</v>
      </c>
      <c r="BD94">
        <v>15043981</v>
      </c>
      <c r="BE94">
        <v>15306316</v>
      </c>
      <c r="BF94">
        <v>15567419</v>
      </c>
      <c r="BG94">
        <v>15827690</v>
      </c>
      <c r="BH94">
        <v>16087418</v>
      </c>
      <c r="BI94">
        <v>16346950</v>
      </c>
      <c r="BJ94">
        <v>16604026</v>
      </c>
      <c r="BK94">
        <v>16858333</v>
      </c>
      <c r="BL94">
        <v>17109746</v>
      </c>
      <c r="BM94">
        <v>17357886</v>
      </c>
      <c r="BN94">
        <v>17602431</v>
      </c>
    </row>
    <row r="95" spans="1:66" x14ac:dyDescent="0.3">
      <c r="A95" t="s">
        <v>1160</v>
      </c>
      <c r="B95" t="s">
        <v>1159</v>
      </c>
      <c r="C95">
        <v>72374</v>
      </c>
      <c r="D95">
        <v>73873</v>
      </c>
      <c r="E95">
        <v>75412</v>
      </c>
      <c r="F95">
        <v>76996</v>
      </c>
      <c r="G95">
        <v>78621</v>
      </c>
      <c r="H95">
        <v>80255</v>
      </c>
      <c r="I95">
        <v>81879</v>
      </c>
      <c r="J95">
        <v>83480</v>
      </c>
      <c r="K95">
        <v>85046</v>
      </c>
      <c r="L95">
        <v>86534</v>
      </c>
      <c r="M95">
        <v>88300</v>
      </c>
      <c r="N95">
        <v>90505</v>
      </c>
      <c r="O95">
        <v>92815</v>
      </c>
      <c r="P95">
        <v>95100</v>
      </c>
      <c r="Q95">
        <v>97329</v>
      </c>
      <c r="R95">
        <v>99478</v>
      </c>
      <c r="S95">
        <v>101590</v>
      </c>
      <c r="T95">
        <v>103676</v>
      </c>
      <c r="U95">
        <v>105710</v>
      </c>
      <c r="V95">
        <v>107790</v>
      </c>
      <c r="W95">
        <v>110286</v>
      </c>
      <c r="X95">
        <v>113221</v>
      </c>
      <c r="Y95">
        <v>116189</v>
      </c>
      <c r="Z95">
        <v>119067</v>
      </c>
      <c r="AA95">
        <v>121885</v>
      </c>
      <c r="AB95">
        <v>124675</v>
      </c>
      <c r="AC95">
        <v>127462</v>
      </c>
      <c r="AD95">
        <v>130259</v>
      </c>
      <c r="AE95">
        <v>133079</v>
      </c>
      <c r="AF95">
        <v>135759</v>
      </c>
      <c r="AG95">
        <v>138263</v>
      </c>
      <c r="AH95">
        <v>140739</v>
      </c>
      <c r="AI95">
        <v>143173</v>
      </c>
      <c r="AJ95">
        <v>145541</v>
      </c>
      <c r="AK95">
        <v>147843</v>
      </c>
      <c r="AL95">
        <v>150094</v>
      </c>
      <c r="AM95">
        <v>152261</v>
      </c>
      <c r="AN95">
        <v>154330</v>
      </c>
      <c r="AO95">
        <v>156357</v>
      </c>
      <c r="AP95">
        <v>158395</v>
      </c>
      <c r="AQ95">
        <v>160188</v>
      </c>
      <c r="AR95">
        <v>161524</v>
      </c>
      <c r="AS95">
        <v>162563</v>
      </c>
      <c r="AT95">
        <v>163385</v>
      </c>
      <c r="AU95">
        <v>164004</v>
      </c>
      <c r="AV95">
        <v>164430</v>
      </c>
      <c r="AW95">
        <v>164675</v>
      </c>
      <c r="AX95">
        <v>164763</v>
      </c>
      <c r="AY95">
        <v>164725</v>
      </c>
      <c r="AZ95">
        <v>164580</v>
      </c>
      <c r="BA95">
        <v>164905</v>
      </c>
      <c r="BB95">
        <v>165649</v>
      </c>
      <c r="BC95">
        <v>166392</v>
      </c>
      <c r="BD95">
        <v>167054</v>
      </c>
      <c r="BE95">
        <v>167543</v>
      </c>
      <c r="BF95">
        <v>167978</v>
      </c>
      <c r="BG95">
        <v>168346</v>
      </c>
      <c r="BH95">
        <v>168606</v>
      </c>
      <c r="BI95">
        <v>168678</v>
      </c>
      <c r="BJ95">
        <v>168624</v>
      </c>
      <c r="BK95">
        <v>169231</v>
      </c>
      <c r="BL95">
        <v>170534</v>
      </c>
      <c r="BM95">
        <v>171774</v>
      </c>
      <c r="BN95">
        <v>172952</v>
      </c>
    </row>
    <row r="96" spans="1:66" x14ac:dyDescent="0.3">
      <c r="A96" t="s">
        <v>1162</v>
      </c>
      <c r="B96" t="s">
        <v>1161</v>
      </c>
      <c r="C96">
        <v>571990</v>
      </c>
      <c r="D96">
        <v>588597</v>
      </c>
      <c r="E96">
        <v>604833</v>
      </c>
      <c r="F96">
        <v>620703</v>
      </c>
      <c r="G96">
        <v>635957</v>
      </c>
      <c r="H96">
        <v>650207</v>
      </c>
      <c r="I96">
        <v>663241</v>
      </c>
      <c r="J96">
        <v>675064</v>
      </c>
      <c r="K96">
        <v>685887</v>
      </c>
      <c r="L96">
        <v>695919</v>
      </c>
      <c r="M96">
        <v>705261</v>
      </c>
      <c r="N96">
        <v>713904</v>
      </c>
      <c r="O96">
        <v>721994</v>
      </c>
      <c r="P96">
        <v>729865</v>
      </c>
      <c r="Q96">
        <v>737701</v>
      </c>
      <c r="R96">
        <v>745590</v>
      </c>
      <c r="S96">
        <v>753553</v>
      </c>
      <c r="T96">
        <v>761378</v>
      </c>
      <c r="U96">
        <v>768609</v>
      </c>
      <c r="V96">
        <v>774482</v>
      </c>
      <c r="W96">
        <v>778176</v>
      </c>
      <c r="X96">
        <v>779686</v>
      </c>
      <c r="Y96">
        <v>779639</v>
      </c>
      <c r="Z96">
        <v>778372</v>
      </c>
      <c r="AA96">
        <v>776007</v>
      </c>
      <c r="AB96">
        <v>772671</v>
      </c>
      <c r="AC96">
        <v>768508</v>
      </c>
      <c r="AD96">
        <v>763706</v>
      </c>
      <c r="AE96">
        <v>758450</v>
      </c>
      <c r="AF96">
        <v>752897</v>
      </c>
      <c r="AG96">
        <v>747116</v>
      </c>
      <c r="AH96">
        <v>744096</v>
      </c>
      <c r="AI96">
        <v>744998</v>
      </c>
      <c r="AJ96">
        <v>747189</v>
      </c>
      <c r="AK96">
        <v>749546</v>
      </c>
      <c r="AL96">
        <v>751689</v>
      </c>
      <c r="AM96">
        <v>753571</v>
      </c>
      <c r="AN96">
        <v>755211</v>
      </c>
      <c r="AO96">
        <v>756697</v>
      </c>
      <c r="AP96">
        <v>758014</v>
      </c>
      <c r="AQ96">
        <v>759051</v>
      </c>
      <c r="AR96">
        <v>759809</v>
      </c>
      <c r="AS96">
        <v>760323</v>
      </c>
      <c r="AT96">
        <v>760562</v>
      </c>
      <c r="AU96">
        <v>760424</v>
      </c>
      <c r="AV96">
        <v>759709</v>
      </c>
      <c r="AW96">
        <v>758367</v>
      </c>
      <c r="AX96">
        <v>756521</v>
      </c>
      <c r="AY96">
        <v>754150</v>
      </c>
      <c r="AZ96">
        <v>751258</v>
      </c>
      <c r="BA96">
        <v>747932</v>
      </c>
      <c r="BB96">
        <v>744230</v>
      </c>
      <c r="BC96">
        <v>743966</v>
      </c>
      <c r="BD96">
        <v>747420</v>
      </c>
      <c r="BE96">
        <v>751115</v>
      </c>
      <c r="BF96">
        <v>755031</v>
      </c>
      <c r="BG96">
        <v>759087</v>
      </c>
      <c r="BH96">
        <v>763252</v>
      </c>
      <c r="BI96">
        <v>785514</v>
      </c>
      <c r="BJ96">
        <v>798753</v>
      </c>
      <c r="BK96">
        <v>797202</v>
      </c>
      <c r="BL96">
        <v>804567</v>
      </c>
      <c r="BM96">
        <v>808726</v>
      </c>
      <c r="BN96">
        <v>813834</v>
      </c>
    </row>
    <row r="97" spans="1:66" x14ac:dyDescent="0.3">
      <c r="A97" t="s">
        <v>1347</v>
      </c>
      <c r="B97" t="s">
        <v>1348</v>
      </c>
      <c r="C97">
        <v>907912413</v>
      </c>
      <c r="D97">
        <v>919107547</v>
      </c>
      <c r="E97">
        <v>930536680</v>
      </c>
      <c r="F97">
        <v>941879887</v>
      </c>
      <c r="G97">
        <v>953215721</v>
      </c>
      <c r="H97">
        <v>964261686</v>
      </c>
      <c r="I97">
        <v>974157526</v>
      </c>
      <c r="J97">
        <v>983690017</v>
      </c>
      <c r="K97">
        <v>993133232</v>
      </c>
      <c r="L97">
        <v>1002691282</v>
      </c>
      <c r="M97">
        <v>1012186875</v>
      </c>
      <c r="N97">
        <v>1023331593</v>
      </c>
      <c r="O97">
        <v>1033198607</v>
      </c>
      <c r="P97">
        <v>1042769605</v>
      </c>
      <c r="Q97">
        <v>1052189245</v>
      </c>
      <c r="R97">
        <v>1061393041</v>
      </c>
      <c r="S97">
        <v>1070186825</v>
      </c>
      <c r="T97">
        <v>1078894429</v>
      </c>
      <c r="U97">
        <v>1087645025</v>
      </c>
      <c r="V97">
        <v>1096681462</v>
      </c>
      <c r="W97">
        <v>1105492737</v>
      </c>
      <c r="X97">
        <v>1114189491</v>
      </c>
      <c r="Y97">
        <v>1122386268</v>
      </c>
      <c r="Z97">
        <v>1130028100</v>
      </c>
      <c r="AA97">
        <v>1137503635</v>
      </c>
      <c r="AB97">
        <v>1145056586</v>
      </c>
      <c r="AC97">
        <v>1152740549</v>
      </c>
      <c r="AD97">
        <v>1160564047</v>
      </c>
      <c r="AE97">
        <v>1168510076</v>
      </c>
      <c r="AF97">
        <v>1176763924</v>
      </c>
      <c r="AG97">
        <v>1184203705</v>
      </c>
      <c r="AH97">
        <v>1192917410</v>
      </c>
      <c r="AI97">
        <v>1201571467</v>
      </c>
      <c r="AJ97">
        <v>1209574376</v>
      </c>
      <c r="AK97">
        <v>1217016521</v>
      </c>
      <c r="AL97">
        <v>1224100529</v>
      </c>
      <c r="AM97">
        <v>1231090974</v>
      </c>
      <c r="AN97">
        <v>1237913846</v>
      </c>
      <c r="AO97">
        <v>1244547641</v>
      </c>
      <c r="AP97">
        <v>1250881910</v>
      </c>
      <c r="AQ97">
        <v>1256926406</v>
      </c>
      <c r="AR97">
        <v>1262875491</v>
      </c>
      <c r="AS97">
        <v>1268844485</v>
      </c>
      <c r="AT97">
        <v>1274957396</v>
      </c>
      <c r="AU97">
        <v>1281374060</v>
      </c>
      <c r="AV97">
        <v>1288177967</v>
      </c>
      <c r="AW97">
        <v>1296180548</v>
      </c>
      <c r="AX97">
        <v>1305161431</v>
      </c>
      <c r="AY97">
        <v>1314663441</v>
      </c>
      <c r="AZ97">
        <v>1323316736</v>
      </c>
      <c r="BA97">
        <v>1330723736</v>
      </c>
      <c r="BB97">
        <v>1335858758</v>
      </c>
      <c r="BC97">
        <v>1342743557</v>
      </c>
      <c r="BD97">
        <v>1349905020</v>
      </c>
      <c r="BE97">
        <v>1357161865</v>
      </c>
      <c r="BF97">
        <v>1364282269</v>
      </c>
      <c r="BG97">
        <v>1371516373</v>
      </c>
      <c r="BH97">
        <v>1377929189</v>
      </c>
      <c r="BI97">
        <v>1383955367</v>
      </c>
      <c r="BJ97">
        <v>1389172209</v>
      </c>
      <c r="BK97">
        <v>1393950970</v>
      </c>
      <c r="BL97">
        <v>1392964458</v>
      </c>
      <c r="BM97">
        <v>1395940386</v>
      </c>
      <c r="BN97">
        <v>1403021503</v>
      </c>
    </row>
    <row r="98" spans="1:66" x14ac:dyDescent="0.3">
      <c r="A98" t="s">
        <v>1349</v>
      </c>
      <c r="B98" t="s">
        <v>1165</v>
      </c>
      <c r="C98">
        <v>3114671</v>
      </c>
      <c r="D98">
        <v>3168100</v>
      </c>
      <c r="E98">
        <v>3305200</v>
      </c>
      <c r="F98">
        <v>3420900</v>
      </c>
      <c r="G98">
        <v>3504600</v>
      </c>
      <c r="H98">
        <v>3597900</v>
      </c>
      <c r="I98">
        <v>3629900</v>
      </c>
      <c r="J98">
        <v>3722800</v>
      </c>
      <c r="K98">
        <v>3802700</v>
      </c>
      <c r="L98">
        <v>3863900</v>
      </c>
      <c r="M98">
        <v>3959000</v>
      </c>
      <c r="N98">
        <v>4045300</v>
      </c>
      <c r="O98">
        <v>4123600</v>
      </c>
      <c r="P98">
        <v>4241600</v>
      </c>
      <c r="Q98">
        <v>4377800</v>
      </c>
      <c r="R98">
        <v>4461600</v>
      </c>
      <c r="S98">
        <v>4518000</v>
      </c>
      <c r="T98">
        <v>4583700</v>
      </c>
      <c r="U98">
        <v>4667500</v>
      </c>
      <c r="V98">
        <v>4929700</v>
      </c>
      <c r="W98">
        <v>5063100</v>
      </c>
      <c r="X98">
        <v>5183400</v>
      </c>
      <c r="Y98">
        <v>5264500</v>
      </c>
      <c r="Z98">
        <v>5345100</v>
      </c>
      <c r="AA98">
        <v>5397900</v>
      </c>
      <c r="AB98">
        <v>5456200</v>
      </c>
      <c r="AC98">
        <v>5524600</v>
      </c>
      <c r="AD98">
        <v>5580500</v>
      </c>
      <c r="AE98">
        <v>5627600</v>
      </c>
      <c r="AF98">
        <v>5686200</v>
      </c>
      <c r="AG98">
        <v>5704500</v>
      </c>
      <c r="AH98">
        <v>5752000</v>
      </c>
      <c r="AI98">
        <v>5800500</v>
      </c>
      <c r="AJ98">
        <v>5901000</v>
      </c>
      <c r="AK98">
        <v>6035400</v>
      </c>
      <c r="AL98">
        <v>6156100</v>
      </c>
      <c r="AM98">
        <v>6435500</v>
      </c>
      <c r="AN98">
        <v>6489300</v>
      </c>
      <c r="AO98">
        <v>6543700</v>
      </c>
      <c r="AP98">
        <v>6606500</v>
      </c>
      <c r="AQ98">
        <v>6665000</v>
      </c>
      <c r="AR98">
        <v>6714300</v>
      </c>
      <c r="AS98">
        <v>6744100</v>
      </c>
      <c r="AT98">
        <v>6730800</v>
      </c>
      <c r="AU98">
        <v>6783500</v>
      </c>
      <c r="AV98">
        <v>6813200</v>
      </c>
      <c r="AW98">
        <v>6857100</v>
      </c>
      <c r="AX98">
        <v>6916300</v>
      </c>
      <c r="AY98">
        <v>6957800</v>
      </c>
      <c r="AZ98">
        <v>6972800</v>
      </c>
      <c r="BA98">
        <v>7024200</v>
      </c>
      <c r="BB98">
        <v>7071600</v>
      </c>
      <c r="BC98">
        <v>7150100</v>
      </c>
      <c r="BD98">
        <v>7178900</v>
      </c>
      <c r="BE98">
        <v>7229500</v>
      </c>
      <c r="BF98">
        <v>7291300</v>
      </c>
      <c r="BG98">
        <v>7336600</v>
      </c>
      <c r="BH98">
        <v>7393200</v>
      </c>
      <c r="BI98">
        <v>7452600</v>
      </c>
      <c r="BJ98">
        <v>7507900</v>
      </c>
      <c r="BK98">
        <v>7481000</v>
      </c>
      <c r="BL98">
        <v>7413100</v>
      </c>
      <c r="BM98">
        <v>7346100</v>
      </c>
      <c r="BN98">
        <v>7536100</v>
      </c>
    </row>
    <row r="99" spans="1:66" x14ac:dyDescent="0.3">
      <c r="A99" t="s">
        <v>1168</v>
      </c>
      <c r="B99" t="s">
        <v>1350</v>
      </c>
      <c r="C99">
        <v>2078617</v>
      </c>
      <c r="D99">
        <v>2139928</v>
      </c>
      <c r="E99">
        <v>2202854</v>
      </c>
      <c r="F99">
        <v>2267708</v>
      </c>
      <c r="G99">
        <v>2334492</v>
      </c>
      <c r="H99">
        <v>2403465</v>
      </c>
      <c r="I99">
        <v>2474523</v>
      </c>
      <c r="J99">
        <v>2547497</v>
      </c>
      <c r="K99">
        <v>2622982</v>
      </c>
      <c r="L99">
        <v>2701381</v>
      </c>
      <c r="M99">
        <v>2782753</v>
      </c>
      <c r="N99">
        <v>2867501</v>
      </c>
      <c r="O99">
        <v>2956021</v>
      </c>
      <c r="P99">
        <v>3046715</v>
      </c>
      <c r="Q99">
        <v>3136539</v>
      </c>
      <c r="R99">
        <v>3231631</v>
      </c>
      <c r="S99">
        <v>3334814</v>
      </c>
      <c r="T99">
        <v>3441122</v>
      </c>
      <c r="U99">
        <v>3550368</v>
      </c>
      <c r="V99">
        <v>3662736</v>
      </c>
      <c r="W99">
        <v>3777990</v>
      </c>
      <c r="X99">
        <v>3895736</v>
      </c>
      <c r="Y99">
        <v>4015647</v>
      </c>
      <c r="Z99">
        <v>4137784</v>
      </c>
      <c r="AA99">
        <v>4261919</v>
      </c>
      <c r="AB99">
        <v>4387693</v>
      </c>
      <c r="AC99">
        <v>4515568</v>
      </c>
      <c r="AD99">
        <v>4645733</v>
      </c>
      <c r="AE99">
        <v>4778114</v>
      </c>
      <c r="AF99">
        <v>4913676</v>
      </c>
      <c r="AG99">
        <v>5053234</v>
      </c>
      <c r="AH99">
        <v>5196887</v>
      </c>
      <c r="AI99">
        <v>5344774</v>
      </c>
      <c r="AJ99">
        <v>5496841</v>
      </c>
      <c r="AK99">
        <v>5652934</v>
      </c>
      <c r="AL99">
        <v>5812832</v>
      </c>
      <c r="AM99">
        <v>5976550</v>
      </c>
      <c r="AN99">
        <v>6144112</v>
      </c>
      <c r="AO99">
        <v>6308537</v>
      </c>
      <c r="AP99">
        <v>6477365</v>
      </c>
      <c r="AQ99">
        <v>6656725</v>
      </c>
      <c r="AR99">
        <v>6837861</v>
      </c>
      <c r="AS99">
        <v>7019908</v>
      </c>
      <c r="AT99">
        <v>7201881</v>
      </c>
      <c r="AU99">
        <v>7383407</v>
      </c>
      <c r="AV99">
        <v>7564613</v>
      </c>
      <c r="AW99">
        <v>7745200</v>
      </c>
      <c r="AX99">
        <v>7924462</v>
      </c>
      <c r="AY99">
        <v>8101777</v>
      </c>
      <c r="AZ99">
        <v>8277302</v>
      </c>
      <c r="BA99">
        <v>8450933</v>
      </c>
      <c r="BB99">
        <v>8622504</v>
      </c>
      <c r="BC99">
        <v>8792367</v>
      </c>
      <c r="BD99">
        <v>8960657</v>
      </c>
      <c r="BE99">
        <v>9127846</v>
      </c>
      <c r="BF99">
        <v>9294505</v>
      </c>
      <c r="BG99">
        <v>9460798</v>
      </c>
      <c r="BH99">
        <v>9626842</v>
      </c>
      <c r="BI99">
        <v>9792850</v>
      </c>
      <c r="BJ99">
        <v>9958829</v>
      </c>
      <c r="BK99">
        <v>10121763</v>
      </c>
      <c r="BL99">
        <v>10278345</v>
      </c>
      <c r="BM99">
        <v>10432860</v>
      </c>
      <c r="BN99">
        <v>10593798</v>
      </c>
    </row>
    <row r="100" spans="1:66" x14ac:dyDescent="0.3">
      <c r="A100" t="s">
        <v>1351</v>
      </c>
      <c r="B100" t="s">
        <v>1352</v>
      </c>
      <c r="C100">
        <v>163453961</v>
      </c>
      <c r="D100">
        <v>167427839</v>
      </c>
      <c r="E100">
        <v>171555341</v>
      </c>
      <c r="F100">
        <v>175832578</v>
      </c>
      <c r="G100">
        <v>180294830</v>
      </c>
      <c r="H100">
        <v>184949176</v>
      </c>
      <c r="I100">
        <v>189744990</v>
      </c>
      <c r="J100">
        <v>194742549</v>
      </c>
      <c r="K100">
        <v>199980949</v>
      </c>
      <c r="L100">
        <v>205388448</v>
      </c>
      <c r="M100">
        <v>210973069</v>
      </c>
      <c r="N100">
        <v>216706865</v>
      </c>
      <c r="O100">
        <v>222495959</v>
      </c>
      <c r="P100">
        <v>228507880</v>
      </c>
      <c r="Q100">
        <v>234861273</v>
      </c>
      <c r="R100">
        <v>241415576</v>
      </c>
      <c r="S100">
        <v>248105304</v>
      </c>
      <c r="T100">
        <v>254798463</v>
      </c>
      <c r="U100">
        <v>262035002</v>
      </c>
      <c r="V100">
        <v>269571043</v>
      </c>
      <c r="W100">
        <v>276049311</v>
      </c>
      <c r="X100">
        <v>282020641</v>
      </c>
      <c r="Y100">
        <v>289043160</v>
      </c>
      <c r="Z100">
        <v>296920640</v>
      </c>
      <c r="AA100">
        <v>305097813</v>
      </c>
      <c r="AB100">
        <v>313452117</v>
      </c>
      <c r="AC100">
        <v>321846502</v>
      </c>
      <c r="AD100">
        <v>330566338</v>
      </c>
      <c r="AE100">
        <v>339527267</v>
      </c>
      <c r="AF100">
        <v>348860257</v>
      </c>
      <c r="AG100">
        <v>358121820</v>
      </c>
      <c r="AH100">
        <v>367531126</v>
      </c>
      <c r="AI100">
        <v>378502714</v>
      </c>
      <c r="AJ100">
        <v>390576688</v>
      </c>
      <c r="AK100">
        <v>402287229</v>
      </c>
      <c r="AL100">
        <v>413913354</v>
      </c>
      <c r="AM100">
        <v>425839678</v>
      </c>
      <c r="AN100">
        <v>437721228</v>
      </c>
      <c r="AO100">
        <v>449883034</v>
      </c>
      <c r="AP100">
        <v>462533086</v>
      </c>
      <c r="AQ100">
        <v>475127894</v>
      </c>
      <c r="AR100">
        <v>488040621</v>
      </c>
      <c r="AS100">
        <v>502494432</v>
      </c>
      <c r="AT100">
        <v>517663749</v>
      </c>
      <c r="AU100">
        <v>532571131</v>
      </c>
      <c r="AV100">
        <v>547936900</v>
      </c>
      <c r="AW100">
        <v>563930944</v>
      </c>
      <c r="AX100">
        <v>579864063</v>
      </c>
      <c r="AY100">
        <v>596301357</v>
      </c>
      <c r="AZ100">
        <v>613535903</v>
      </c>
      <c r="BA100">
        <v>630953183</v>
      </c>
      <c r="BB100">
        <v>648927117</v>
      </c>
      <c r="BC100">
        <v>667520863</v>
      </c>
      <c r="BD100">
        <v>686620331</v>
      </c>
      <c r="BE100">
        <v>706617213</v>
      </c>
      <c r="BF100">
        <v>727129254</v>
      </c>
      <c r="BG100">
        <v>748356635</v>
      </c>
      <c r="BH100">
        <v>770390212</v>
      </c>
      <c r="BI100">
        <v>792615894</v>
      </c>
      <c r="BJ100">
        <v>815100831</v>
      </c>
      <c r="BK100">
        <v>838066650</v>
      </c>
      <c r="BL100">
        <v>861156745</v>
      </c>
      <c r="BM100">
        <v>884288332</v>
      </c>
      <c r="BN100">
        <v>907995430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athlete_events_datalab</vt:lpstr>
      <vt:lpstr>results_clean</vt:lpstr>
      <vt:lpstr>results.csv</vt:lpstr>
      <vt:lpstr>athlete_events</vt:lpstr>
      <vt:lpstr>bios</vt:lpstr>
      <vt:lpstr>bios_clean</vt:lpstr>
      <vt:lpstr>bios_locs</vt:lpstr>
      <vt:lpstr>noc_regions</vt:lpstr>
      <vt:lpstr>Hoja9</vt:lpstr>
      <vt:lpstr>populations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d9836</dc:creator>
  <cp:lastModifiedBy>d9836</cp:lastModifiedBy>
  <dcterms:created xsi:type="dcterms:W3CDTF">2026-09-09T17:45:14Z</dcterms:created>
  <dcterms:modified xsi:type="dcterms:W3CDTF">2026-09-09T18:14:26Z</dcterms:modified>
</cp:coreProperties>
</file>